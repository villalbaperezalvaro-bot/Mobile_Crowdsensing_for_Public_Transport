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/>
  <mc:AlternateContent xmlns:mc="http://schemas.openxmlformats.org/markup-compatibility/2006">
    <mc:Choice Requires="x15">
      <x15ac:absPath xmlns:x15ac="http://schemas.microsoft.com/office/spreadsheetml/2010/11/ac" url="C:\Users\inaoe\Desktop\residentes prepago\cadena_viaje\"/>
    </mc:Choice>
  </mc:AlternateContent>
  <xr:revisionPtr revIDLastSave="0" documentId="13_ncr:1_{6D688B4C-C8FD-47B5-87EC-3184795A6C4D}" xr6:coauthVersionLast="36" xr6:coauthVersionMax="47" xr10:uidLastSave="{00000000-0000-0000-0000-000000000000}"/>
  <bookViews>
    <workbookView xWindow="0" yWindow="0" windowWidth="28800" windowHeight="12105" activeTab="1" xr2:uid="{00000000-000D-0000-FFFF-FFFF00000000}"/>
  </bookViews>
  <sheets>
    <sheet name="01_Instrucciones" sheetId="1" r:id="rId1"/>
    <sheet name="02_Subdominios" sheetId="2" r:id="rId2"/>
  </sheets>
  <definedNames>
    <definedName name="_xlnm._FilterDatabase" localSheetId="1" hidden="1">'02_Subdominios'!$A$5:$S$151</definedName>
    <definedName name="Z_E4D7076B_7CD4_4A8A_8356_85B86FEB38E0_.wvu.FilterData" localSheetId="1" hidden="1">'02_Subdominios'!$A$5:$S$151</definedName>
  </definedNames>
  <calcPr calcId="191029"/>
  <customWorkbookViews>
    <customWorkbookView name="Subdominios Modelo filter view" guid="{E4D7076B-7CD4-4A8A-8356-85B86FEB38E0}" maximized="1" windowWidth="0" windowHeight="0" activeSheetId="0"/>
  </customWorkbookViews>
  <extLs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6" roundtripDataChecksum="1c/WrTodYdoR8qYWFaGOpxiXEaDwg5iludIJOCKyK+Y="/>
    </ext>
  </extLst>
</workbook>
</file>

<file path=xl/calcChain.xml><?xml version="1.0" encoding="utf-8"?>
<calcChain xmlns="http://schemas.openxmlformats.org/spreadsheetml/2006/main">
  <c r="J25" i="1" l="1"/>
  <c r="I25" i="1"/>
  <c r="H25" i="1"/>
  <c r="F25" i="1"/>
  <c r="E25" i="1"/>
  <c r="D25" i="1"/>
  <c r="C25" i="1"/>
  <c r="B25" i="1"/>
  <c r="A25" i="1"/>
  <c r="G25" i="1" l="1"/>
</calcChain>
</file>

<file path=xl/sharedStrings.xml><?xml version="1.0" encoding="utf-8"?>
<sst xmlns="http://schemas.openxmlformats.org/spreadsheetml/2006/main" count="823" uniqueCount="379">
  <si>
    <t>Revisión de dominios y subdominios institucionales</t>
  </si>
  <si>
    <t>Objetivo: confirmar qué activos permanecen vigentes, cuáles deben retirarse o corregirse y cuáles requieren revisión IDOR.</t>
  </si>
  <si>
    <t>Antes del Webinar IDOR</t>
  </si>
  <si>
    <t>La DGCiber impartirá 2 sesiones prácticas de 60 minutos cada una los días 2 y 4 de septiembre. Antes de la primera sesión, la institución deberá haber revisado todo el inventario y completar, al menos, las columnas “Situación institucional”, “Sistema / servicio”, “Área responsable” y “Estado de atención”.</t>
  </si>
  <si>
    <t>Inventario institucional de dominios y subdominios</t>
  </si>
  <si>
    <t>¿Qué debe completar la institución?</t>
  </si>
  <si>
    <t xml:space="preserve">Webinar IDOR: 2 y 4 de septiembre | 60 minutos por sesión | Antes de la primera sesión, el inventario deberá estar revisado y clasificado, identificando al menos, las columnas “Situación institucional”, “Sistema / servicio”, “Área responsable” y “Estado de atención”.								
								</t>
  </si>
  <si>
    <t>CAMPOS PRELLENADOS POR DGCIBER — NO MODIFICAR</t>
  </si>
  <si>
    <t>Campo</t>
  </si>
  <si>
    <t>CAMPOS A COMPLETAR POR LA INSTITUCIÓN</t>
  </si>
  <si>
    <t>Qué registrar</t>
  </si>
  <si>
    <t>Guía rápida</t>
  </si>
  <si>
    <t>Situación institucional</t>
  </si>
  <si>
    <t>Seleccionar la situación que corresponda al subdominio.</t>
  </si>
  <si>
    <t>Activo / responde HTTP(S)</t>
  </si>
  <si>
    <t>Confirmar si debe seguir publicado. Si es aplicación o API, deberá revisarse IDOR.</t>
  </si>
  <si>
    <t>Sistema / servicio asociado</t>
  </si>
  <si>
    <t>Nombre breve del sitio, sistema, aplicación, API o servicio. Si no aplica, dejar en blanco.</t>
  </si>
  <si>
    <t>Resuelve DNS, sin respuesta web</t>
  </si>
  <si>
    <t>Confirmar qué servicio utiliza el host y si debe permanecer vigente.</t>
  </si>
  <si>
    <t>No.</t>
  </si>
  <si>
    <t>Área responsable</t>
  </si>
  <si>
    <t>Área que administra u opera el activo.</t>
  </si>
  <si>
    <t>No resuelve DNS</t>
  </si>
  <si>
    <t>Confirmar que corresponde a un activo retirado. No requiere revisión IDOR.</t>
  </si>
  <si>
    <t>Subdominio</t>
  </si>
  <si>
    <t>Estatus observado DGCiber</t>
  </si>
  <si>
    <t>Detalle técnico DGCiber</t>
  </si>
  <si>
    <t>Estado de atención</t>
  </si>
  <si>
    <t>Concluido, En proceso o Por iniciar.</t>
  </si>
  <si>
    <t>Código HTTP</t>
  </si>
  <si>
    <t>CNAME sin resolución</t>
  </si>
  <si>
    <t>Revisar el registro y corregirlo o eliminarlo si ya no es necesario. No requiere revisión IDOR.</t>
  </si>
  <si>
    <t>Esquema</t>
  </si>
  <si>
    <t>Dirección IP</t>
  </si>
  <si>
    <t>CNAME</t>
  </si>
  <si>
    <t>Servidor</t>
  </si>
  <si>
    <t>Título de la página</t>
  </si>
  <si>
    <t>Resultado IDOR</t>
  </si>
  <si>
    <t>Solo cuando aplique: Pendiente, Sin hallazgos, Con hallazgos o Remediado. Para activos retirados: No aplica.</t>
  </si>
  <si>
    <t>URL final</t>
  </si>
  <si>
    <t>Fecha de atención</t>
  </si>
  <si>
    <t>Fecha de la revisión, baja, corrección o remediación.</t>
  </si>
  <si>
    <t>Resultado revisión IDOR</t>
  </si>
  <si>
    <t>Evidencia / referencia</t>
  </si>
  <si>
    <t>Observaciones</t>
  </si>
  <si>
    <t>Ticket, folio, captura, reporte o referencia que acredite la acción realizada.</t>
  </si>
  <si>
    <t>Importante</t>
  </si>
  <si>
    <t>actasciberseguridad.inaoep.mx</t>
  </si>
  <si>
    <t>Activo</t>
  </si>
  <si>
    <t>Solo cuando sea necesario aclarar algún punto.</t>
  </si>
  <si>
    <t>Antes del 2 de septiembre, la institución deberá haber clasificado todos los registros e identificado los activos vigentes. La revisión IDOR se realizará únicamente sobre los sitios, aplicaciones y APIs para los que resulte aplicable.</t>
  </si>
  <si>
    <t>Responde HTTP</t>
  </si>
  <si>
    <t>https</t>
  </si>
  <si>
    <t>192.100.172.11</t>
  </si>
  <si>
    <t>calmecac.inaoep.mx</t>
  </si>
  <si>
    <t>Apache</t>
  </si>
  <si>
    <t>Actas de Ciberseguridad para la Industria 5.0</t>
  </si>
  <si>
    <t>https://actasciberseguridad.inaoep.mx/</t>
  </si>
  <si>
    <t>Resumen de avance del inventario</t>
  </si>
  <si>
    <t>Total de subdominios</t>
  </si>
  <si>
    <t>Activos observados DGCiber</t>
  </si>
  <si>
    <t>Clasificados por la institución</t>
  </si>
  <si>
    <t>Pendientes por clasificar</t>
  </si>
  <si>
    <t>Vigentes</t>
  </si>
  <si>
    <t>Atención concluida</t>
  </si>
  <si>
    <t>Con hallazgos IDOR</t>
  </si>
  <si>
    <t>adria.inaoep.mx</t>
  </si>
  <si>
    <t>Inactivo</t>
  </si>
  <si>
    <t>192.100.172.154</t>
  </si>
  <si>
    <t>agc01.inaoep.mx</t>
  </si>
  <si>
    <t>192.100.172.185</t>
  </si>
  <si>
    <t>agc02.inaoep.mx</t>
  </si>
  <si>
    <t>192.100.172.186</t>
  </si>
  <si>
    <t>agc03.inaoep.mx</t>
  </si>
  <si>
    <t>192.100.172.187</t>
  </si>
  <si>
    <t>agc04.inaoep.mx</t>
  </si>
  <si>
    <t>192.100.172.188</t>
  </si>
  <si>
    <t>agcpruebas.inaoep.mx</t>
  </si>
  <si>
    <t>192.100.172.173</t>
  </si>
  <si>
    <t>amo-ac.inaoep.mx</t>
  </si>
  <si>
    <t>astro.inaoep.mx</t>
  </si>
  <si>
    <t>INAOE</t>
  </si>
  <si>
    <t>https://astro.inaoep.mx/</t>
  </si>
  <si>
    <t>astrofisica-13.inaoep.mx</t>
  </si>
  <si>
    <t>192.100.172.13</t>
  </si>
  <si>
    <t>astrofisica-14.inaoep.mx</t>
  </si>
  <si>
    <t>192.100.172.14</t>
  </si>
  <si>
    <t>astrofisica-15.inaoep.mx</t>
  </si>
  <si>
    <t>192.100.172.15</t>
  </si>
  <si>
    <t>astrofisica-17.inaoep.mx</t>
  </si>
  <si>
    <t>192.100.172.17</t>
  </si>
  <si>
    <t>astrofisica-20.inaoep.mx</t>
  </si>
  <si>
    <t>192.100.172.20</t>
  </si>
  <si>
    <t>astrofisica-23.inaoep.mx</t>
  </si>
  <si>
    <t>192.100.172.23</t>
  </si>
  <si>
    <t>astrofisica-34.inaoep.mx</t>
  </si>
  <si>
    <t>192.100.172.34</t>
  </si>
  <si>
    <t>astrofisica-40.inaoep.mx</t>
  </si>
  <si>
    <t>192.100.172.40</t>
  </si>
  <si>
    <t>astrofisica-43.inaoep.mx</t>
  </si>
  <si>
    <t>192.100.172.43</t>
  </si>
  <si>
    <t>astrofisica-46.inaoep.mx</t>
  </si>
  <si>
    <t>192.100.172.46</t>
  </si>
  <si>
    <t>astrofisica-53.inaoep.mx</t>
  </si>
  <si>
    <t>192.100.172.53</t>
  </si>
  <si>
    <t>astrofisica-61.inaoep.mx</t>
  </si>
  <si>
    <t>192.100.172.61</t>
  </si>
  <si>
    <t>astrofisica-72.inaoep.mx</t>
  </si>
  <si>
    <t>192.100.172.72</t>
  </si>
  <si>
    <t>astrofisica-73.inaoep.mx</t>
  </si>
  <si>
    <t>192.100.172.73</t>
  </si>
  <si>
    <t>aztlan.inaoep.mx</t>
  </si>
  <si>
    <t>192.100.172.33</t>
  </si>
  <si>
    <t>https://calmecac.inaoep.mx/</t>
  </si>
  <si>
    <t>calmecac2.inaoep.mx</t>
  </si>
  <si>
    <t>192.168.61.240</t>
  </si>
  <si>
    <t>catalogo.inaoep.mx</t>
  </si>
  <si>
    <t>148.207.217.32</t>
  </si>
  <si>
    <t>ccc.inaoep.mx</t>
  </si>
  <si>
    <t>192.100.172.221</t>
  </si>
  <si>
    <t>https://ccc.inaoep.mx/</t>
  </si>
  <si>
    <t>cein.inaoep.mx</t>
  </si>
  <si>
    <t>192.100.172.27</t>
  </si>
  <si>
    <t>Centro de Ingenier&amp;iacute;a - INAOE</t>
  </si>
  <si>
    <t>https://cein.inaoep.mx/</t>
  </si>
  <si>
    <t>celsius.inaoep.mx</t>
  </si>
  <si>
    <t>centeotl.inaoep.mx</t>
  </si>
  <si>
    <t>chiltin.inaoep.mx</t>
  </si>
  <si>
    <t>192.168.118.34</t>
  </si>
  <si>
    <t>ciberseguridadindustria.inaoep.mx</t>
  </si>
  <si>
    <t>Ciberseguridad 2026</t>
  </si>
  <si>
    <t>https://ciberseguridadindustria.inaoep.mx/</t>
  </si>
  <si>
    <t>consultoriacein.inaoep.mx</t>
  </si>
  <si>
    <t>ConsultorIA CeIn | Consultoría en Inteligencia Artificial y Automatización</t>
  </si>
  <si>
    <t>https://consultoriacein.inaoep.mx/</t>
  </si>
  <si>
    <t>cseg.inaoep.mx</t>
  </si>
  <si>
    <t>https://cseg.inaoep.mx/</t>
  </si>
  <si>
    <t>dalila.inaoep.mx</t>
  </si>
  <si>
    <t>192.100.172.79</t>
  </si>
  <si>
    <t>drc.inaoep.mx</t>
  </si>
  <si>
    <t>https://drc.inaoep.mx/</t>
  </si>
  <si>
    <t>dynamic-dir-44.inaoep.mx</t>
  </si>
  <si>
    <t>200.23.5.44</t>
  </si>
  <si>
    <t>dynamic-dir-48.inaoep.mx</t>
  </si>
  <si>
    <t>200.23.5.48</t>
  </si>
  <si>
    <t>dynamic-dir-51.inaoep.mx</t>
  </si>
  <si>
    <t>200.23.5.51</t>
  </si>
  <si>
    <t>dynamic-dir-58.inaoep.mx</t>
  </si>
  <si>
    <t>200.23.5.58</t>
  </si>
  <si>
    <t>dynamic-doc-196.inaoep.mx</t>
  </si>
  <si>
    <t>200.23.5.196</t>
  </si>
  <si>
    <t>dynamic-inv-68.inaoep.mx</t>
  </si>
  <si>
    <t>200.23.5.68</t>
  </si>
  <si>
    <t>dynamic-inv-75.inaoep.mx</t>
  </si>
  <si>
    <t>200.23.5.75</t>
  </si>
  <si>
    <t>dynamic-inv-77.inaoep.mx</t>
  </si>
  <si>
    <t>200.23.5.77</t>
  </si>
  <si>
    <t>dynamic-vin-103.inaoep.mx</t>
  </si>
  <si>
    <t>200.23.5.103</t>
  </si>
  <si>
    <t>ehecatl.inaoep.mx</t>
  </si>
  <si>
    <t>192.168.111.124</t>
  </si>
  <si>
    <t>elca1.inaoep.mx</t>
  </si>
  <si>
    <t>192.100.172.222</t>
  </si>
  <si>
    <t>Apache/2.4.67 (Debian)</t>
  </si>
  <si>
    <t>https://elca1.inaoep.mx/</t>
  </si>
  <si>
    <t>elca2.inaoep.mx</t>
  </si>
  <si>
    <t>192.168.61.241</t>
  </si>
  <si>
    <t>elca5.inaoep.mx</t>
  </si>
  <si>
    <t>148.207.217.23</t>
  </si>
  <si>
    <t>electronica-163.inaoep.mx</t>
  </si>
  <si>
    <t>192.100.172.163</t>
  </si>
  <si>
    <t>electronica-169.inaoep.mx</t>
  </si>
  <si>
    <t>192.100.172.169</t>
  </si>
  <si>
    <t>electronica-178.inaoep.mx</t>
  </si>
  <si>
    <t>192.100.172.178</t>
  </si>
  <si>
    <t>electronica-193.inaoep.mx</t>
  </si>
  <si>
    <t>192.100.172.193</t>
  </si>
  <si>
    <t>electronica-203.inaoep.mx</t>
  </si>
  <si>
    <t>192.100.172.203</t>
  </si>
  <si>
    <t>electronica-206.inaoep.mx</t>
  </si>
  <si>
    <t>192.100.172.206</t>
  </si>
  <si>
    <t>electronica-212.inaoep.mx</t>
  </si>
  <si>
    <t>192.100.172.212</t>
  </si>
  <si>
    <t>electronica-216.inaoep.mx</t>
  </si>
  <si>
    <t>192.100.172.216</t>
  </si>
  <si>
    <t>electronica-219.inaoep.mx</t>
  </si>
  <si>
    <t>192.100.172.219</t>
  </si>
  <si>
    <t>exoplanetas.inaoep.mx</t>
  </si>
  <si>
    <t>148.207.217.27</t>
  </si>
  <si>
    <t>gisc2.inaoep.mx</t>
  </si>
  <si>
    <t>goyo.inaoep.mx</t>
  </si>
  <si>
    <t>200.23.5.146</t>
  </si>
  <si>
    <t>gsei.inaoep.mx</t>
  </si>
  <si>
    <t>http</t>
  </si>
  <si>
    <t>192.100.172.147</t>
  </si>
  <si>
    <t>Abyss/2.16.20.2-X1-Win32 AbyssLib/2.16.20.2</t>
  </si>
  <si>
    <t>http://gsei.inaoep.mx/</t>
  </si>
  <si>
    <t>gtm-223.inaoep.mx</t>
  </si>
  <si>
    <t>192.100.172.223</t>
  </si>
  <si>
    <t>gtm-224.inaoep.mx</t>
  </si>
  <si>
    <t>192.100.172.224</t>
  </si>
  <si>
    <t>gtm-226.inaoep.mx</t>
  </si>
  <si>
    <t>192.100.172.226</t>
  </si>
  <si>
    <t>gtm-228.inaoep.mx</t>
  </si>
  <si>
    <t>192.100.172.228</t>
  </si>
  <si>
    <t>gtm-229.inaoep.mx</t>
  </si>
  <si>
    <t>192.100.172.229</t>
  </si>
  <si>
    <t>gtm-235.inaoep.mx</t>
  </si>
  <si>
    <t>192.100.172.235</t>
  </si>
  <si>
    <t>gtm-241.inaoep.mx</t>
  </si>
  <si>
    <t>192.100.172.241</t>
  </si>
  <si>
    <t>gtm-243.inaoep.mx</t>
  </si>
  <si>
    <t>192.100.172.243</t>
  </si>
  <si>
    <t>gtm-244.inaoep.mx</t>
  </si>
  <si>
    <t>192.100.172.244</t>
  </si>
  <si>
    <t>gtm-246.inaoep.mx</t>
  </si>
  <si>
    <t>192.100.172.246</t>
  </si>
  <si>
    <t>gtm-247.inaoep.mx</t>
  </si>
  <si>
    <t>192.100.172.247</t>
  </si>
  <si>
    <t>haro-new.inaoep.mx</t>
  </si>
  <si>
    <t>192.100.172.174</t>
  </si>
  <si>
    <t>haro.inaoep.mx</t>
  </si>
  <si>
    <t>192.100.172.6</t>
  </si>
  <si>
    <t>- no title specified</t>
  </si>
  <si>
    <t>https://haro.inaoep.mx/</t>
  </si>
  <si>
    <t>haro1.inaoep.mx</t>
  </si>
  <si>
    <t>haro3.inaoep.mx</t>
  </si>
  <si>
    <t>148.207.217.26</t>
  </si>
  <si>
    <t>imav2020.inaoep.mx</t>
  </si>
  <si>
    <t>https://imav2020.inaoep.mx/</t>
  </si>
  <si>
    <t>imav2021.inaoep.mx</t>
  </si>
  <si>
    <t>https://imav2021.inaoep.mx/</t>
  </si>
  <si>
    <t>inaoep.mx</t>
  </si>
  <si>
    <t>https://inaoep.mx/</t>
  </si>
  <si>
    <t>inneford.inaoep.mx</t>
  </si>
  <si>
    <t>148.207.217.34</t>
  </si>
  <si>
    <t>intra.inaoep.mx</t>
  </si>
  <si>
    <t>192.168.118.37</t>
  </si>
  <si>
    <t>intranet.inaoep.mx</t>
  </si>
  <si>
    <t>labdileit.inaoep.mx</t>
  </si>
  <si>
    <t>192.100.172.136</t>
  </si>
  <si>
    <t>labremoto.inaoep.mx</t>
  </si>
  <si>
    <t>148.207.217.31</t>
  </si>
  <si>
    <t>lsc-gpu.inaoep.mx</t>
  </si>
  <si>
    <t>148.207.217.22</t>
  </si>
  <si>
    <t>lsc-gpu2.inaoep.mx</t>
  </si>
  <si>
    <t>148.207.217.25</t>
  </si>
  <si>
    <t>lus1.inaoep.mx</t>
  </si>
  <si>
    <t>192.100.172.41</t>
  </si>
  <si>
    <t>lvc.inaoep.mx</t>
  </si>
  <si>
    <t>192.100.172.111</t>
  </si>
  <si>
    <t>mixtli.inaoep.mx</t>
  </si>
  <si>
    <t>148.207.217.28</t>
  </si>
  <si>
    <t>Apache/2.4.68 (Debian)</t>
  </si>
  <si>
    <t>Computational Astrophysics group - INAOE</t>
  </si>
  <si>
    <t>https://mixtli.inaoep.mx/mixtli/</t>
  </si>
  <si>
    <t>mnemosyne.inaoep.mx</t>
  </si>
  <si>
    <t>192.100.172.199</t>
  </si>
  <si>
    <t>Apache/2.4.59 (Debian)</t>
  </si>
  <si>
    <t>ownCloud</t>
  </si>
  <si>
    <t>https://mnemosyne.inaoep.mx/index.php/login</t>
  </si>
  <si>
    <t>moodle.inaoep.mx</t>
  </si>
  <si>
    <t>148.207.217.35</t>
  </si>
  <si>
    <t>Redireccionar</t>
  </si>
  <si>
    <t>https://moodle.inaoep.mx/</t>
  </si>
  <si>
    <t>n8ncein.inaoep.mx</t>
  </si>
  <si>
    <t>n8n.io - Workflow Automation</t>
  </si>
  <si>
    <t>https://n8ncein.inaoep.mx/</t>
  </si>
  <si>
    <t>offoto12.inaoep.mx</t>
  </si>
  <si>
    <t>192.100.172.117</t>
  </si>
  <si>
    <t>ofrrgp.inaoep.mx</t>
  </si>
  <si>
    <t>192.100.172.142</t>
  </si>
  <si>
    <t>ohrrl2.inaoep.mx</t>
  </si>
  <si>
    <t>192.100.172.95</t>
  </si>
  <si>
    <t>ohrrl6.inaoep.mx</t>
  </si>
  <si>
    <t>192.100.172.99</t>
  </si>
  <si>
    <t>oiajn.inaoep.mx</t>
  </si>
  <si>
    <t>192.100.172.114</t>
  </si>
  <si>
    <t>oigmn.inaoep.mx</t>
  </si>
  <si>
    <t>192.100.172.144</t>
  </si>
  <si>
    <t>oisvm.inaoep.mx</t>
  </si>
  <si>
    <t>192.100.172.139</t>
  </si>
  <si>
    <t>oochmc1.inaoep.mx</t>
  </si>
  <si>
    <t>192.100.172.141</t>
  </si>
  <si>
    <t>optica-115.inaoep.mx</t>
  </si>
  <si>
    <t>192.100.172.115</t>
  </si>
  <si>
    <t>optica-88.inaoep.mx</t>
  </si>
  <si>
    <t>192.100.172.88</t>
  </si>
  <si>
    <t>panelcein.inaoep.mx</t>
  </si>
  <si>
    <t>Apache/2.4.62 (Debian)</t>
  </si>
  <si>
    <t>Login – Nextcloud</t>
  </si>
  <si>
    <t>https://panelcein.inaoep.mx/login</t>
  </si>
  <si>
    <t>posgrados.inaoep.mx</t>
  </si>
  <si>
    <t>200.23.5.145</t>
  </si>
  <si>
    <t>susu.inaoep.mx</t>
  </si>
  <si>
    <t>https://posgrados.inaoep.mx/</t>
  </si>
  <si>
    <t>r2.inaoep.mx</t>
  </si>
  <si>
    <t>192.100.172.2</t>
  </si>
  <si>
    <t>Ruteador2.inaoep.mx</t>
  </si>
  <si>
    <t>r200-129.inaoep.mx</t>
  </si>
  <si>
    <t>200.23.5.129</t>
  </si>
  <si>
    <t>r200-137.inaoep.mx</t>
  </si>
  <si>
    <t>200.23.5.137</t>
  </si>
  <si>
    <t>r200-138.inaoep.mx</t>
  </si>
  <si>
    <t>200.23.5.138</t>
  </si>
  <si>
    <t>r200-139.inaoep.mx</t>
  </si>
  <si>
    <t>200.23.5.139</t>
  </si>
  <si>
    <t>r200-150.inaoep.mx</t>
  </si>
  <si>
    <t>200.23.5.150</t>
  </si>
  <si>
    <t>r200-152.inaoep.mx</t>
  </si>
  <si>
    <t>200.23.5.152</t>
  </si>
  <si>
    <t>r200-156.inaoep.mx</t>
  </si>
  <si>
    <t>200.23.5.156</t>
  </si>
  <si>
    <t>r8.inaoep.mx</t>
  </si>
  <si>
    <t>192.100.172.8</t>
  </si>
  <si>
    <t>ramc.inaoep.mx</t>
  </si>
  <si>
    <t>RAMC</t>
  </si>
  <si>
    <t>https://ramc.inaoep.mx/</t>
  </si>
  <si>
    <t>redbiofotonica.inaoep.mx</t>
  </si>
  <si>
    <t>repositoriocein.inaoep.mx</t>
  </si>
  <si>
    <t>Cein.IA</t>
  </si>
  <si>
    <t>https://repositoriocein.inaoep.mx/login</t>
  </si>
  <si>
    <t>robotic.inaoep.mx</t>
  </si>
  <si>
    <t>192.100.172.82</t>
  </si>
  <si>
    <t>Apache/2.4.18 (Ubuntu)</t>
  </si>
  <si>
    <t>Robotica</t>
  </si>
  <si>
    <t>https://robotic.inaoep.mx/</t>
  </si>
  <si>
    <t>robotica.inaoep.mx</t>
  </si>
  <si>
    <t>https://robotica.inaoep.mx/</t>
  </si>
  <si>
    <t>ruteador2.inaoep.mx</t>
  </si>
  <si>
    <t>sira.inaoep.mx</t>
  </si>
  <si>
    <t>https://sira.inaoep.mx/</t>
  </si>
  <si>
    <t>sisgea.inaoep.mx</t>
  </si>
  <si>
    <t>192.100.172.176</t>
  </si>
  <si>
    <t>Microsoft-IIS/10.0</t>
  </si>
  <si>
    <t>SISGEA - Sistema de Gestión Académica</t>
  </si>
  <si>
    <t>https://sisgea.inaoep.mx/</t>
  </si>
  <si>
    <t>sisgedi.inaoep.mx</t>
  </si>
  <si>
    <t>148.207.217.24</t>
  </si>
  <si>
    <t>sispae.inaoep.mx</t>
  </si>
  <si>
    <t>192.100.172.155</t>
  </si>
  <si>
    <t>skol.inaoep.mx</t>
  </si>
  <si>
    <t>speckle.inaoep.mx</t>
  </si>
  <si>
    <t>192.100.172.100</t>
  </si>
  <si>
    <t>https://speckle.inaoep.mx/</t>
  </si>
  <si>
    <t>SUSU Webmail :: Welcome to SUSU Webmail</t>
  </si>
  <si>
    <t>https://susu.inaoep.mx/</t>
  </si>
  <si>
    <t>tajin.inaoep.mx</t>
  </si>
  <si>
    <t>192.100.172.32</t>
  </si>
  <si>
    <t>titulo-electronico.inaoep.mx</t>
  </si>
  <si>
    <t>148.207.217.30</t>
  </si>
  <si>
    <t>Sistema de Titulación Electrónica</t>
  </si>
  <si>
    <t>https://titulo-electronico.inaoep.mx/inaoe/</t>
  </si>
  <si>
    <t>tonali.inaoep.mx</t>
  </si>
  <si>
    <t>192.100.172.5</t>
  </si>
  <si>
    <t>tonalins1.inaoep.mx</t>
  </si>
  <si>
    <t>192.168.112.253</t>
  </si>
  <si>
    <t>vinculacion-educativa.inaoep.mx</t>
  </si>
  <si>
    <t>148.207.217.33</t>
  </si>
  <si>
    <t>www-cseg.inaoep.mx</t>
  </si>
  <si>
    <t>https://www-cseg.inaoep.mx/</t>
  </si>
  <si>
    <t>www-elec.inaoep.mx</t>
  </si>
  <si>
    <t>https://www-elec.inaoep.mx/</t>
  </si>
  <si>
    <t>www-optica.inaoep.mx</t>
  </si>
  <si>
    <t>https://www-optica.inaoep.mx/</t>
  </si>
  <si>
    <t>www.inaoep.mx</t>
  </si>
  <si>
    <t>https://www.inaoep.mx/</t>
  </si>
  <si>
    <t>xilonen.inaoep.mx</t>
  </si>
  <si>
    <t>yolotli.inaoep.mx</t>
  </si>
  <si>
    <t>https://yolotli.inaoep.mx/</t>
  </si>
  <si>
    <t>zuzu.inaoep.mx</t>
  </si>
  <si>
    <t>Vigente</t>
  </si>
  <si>
    <t>Servicio no web vigente</t>
  </si>
  <si>
    <t xml:space="preserve">Sistema de Reportes Académicos </t>
  </si>
  <si>
    <t>Moodle</t>
  </si>
  <si>
    <t>AGC</t>
  </si>
  <si>
    <t>Concluido</t>
  </si>
  <si>
    <t>En proceso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</si>
</sst>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>
    <font>
      <sz val="11"/>
      <color rgb="FF000000"/>
      <name val="Carlito"/>
      <scheme val="minor"/>
    </font>
    <font>
      <b/>
      <sz val="16"/>
      <color rgb="FFFFFFFF"/>
      <name val="Carlito"/>
    </font>
    <font>
      <sz val="11"/>
      <color theme="1"/>
      <name val="Carlito"/>
    </font>
    <font>
      <b/>
      <sz val="11"/>
      <color rgb="FF0B4F3C"/>
      <name val="Carlito"/>
    </font>
    <font>
      <b/>
      <sz val="12"/>
      <color rgb="FFFFFFFF"/>
      <name val="Carlito"/>
    </font>
    <font>
      <sz val="11"/>
      <color rgb="FF0B4F3C"/>
      <name val="Carlito"/>
    </font>
    <font>
      <b/>
      <sz val="14"/>
      <color rgb="FFFFFFFF"/>
      <name val="Arial"/>
    </font>
    <font>
      <sz val="14"/>
      <color theme="1"/>
      <name val="Arial"/>
    </font>
    <font>
      <b/>
      <sz val="13"/>
      <color rgb="FF274E13"/>
      <name val="Arial"/>
    </font>
    <font>
      <b/>
      <sz val="13"/>
      <color theme="1"/>
      <name val="Arial"/>
    </font>
    <font>
      <b/>
      <sz val="13"/>
      <color rgb="FFFF0000"/>
      <name val="Arial"/>
    </font>
    <font>
      <b/>
      <sz val="13"/>
      <color rgb="FF000000"/>
      <name val="Arial"/>
    </font>
    <font>
      <sz val="10"/>
      <color theme="1"/>
      <name val="Arial"/>
    </font>
    <font>
      <sz val="11"/>
      <color theme="1"/>
      <name val="Carlito"/>
    </font>
    <font>
      <b/>
      <sz val="10"/>
      <color rgb="FFFFFFFF"/>
      <name val="Arial"/>
    </font>
    <font>
      <b/>
      <sz val="11"/>
      <color rgb="FFFFFFFF"/>
      <name val="Carlito"/>
    </font>
    <font>
      <sz val="11"/>
      <color theme="1"/>
      <name val="Calibri"/>
    </font>
    <font>
      <sz val="11"/>
      <color rgb="FF006100"/>
      <name val="Calibri"/>
    </font>
    <font>
      <b/>
      <sz val="12"/>
      <color rgb="FF0B4F3C"/>
      <name val="Carlito"/>
    </font>
    <font>
      <sz val="11"/>
      <color rgb="FF9C0006"/>
      <name val="Calibri"/>
    </font>
    <font>
      <sz val="11"/>
      <color theme="1"/>
      <name val="Calibri"/>
    </font>
    <font>
      <u/>
      <sz val="11"/>
      <color theme="10"/>
      <name val="Carlito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B4F3C"/>
        <bgColor rgb="FF0B4F3C"/>
      </patternFill>
    </fill>
    <fill>
      <patternFill patternType="solid">
        <fgColor rgb="FFDCEDE2"/>
        <bgColor rgb="FFDCEDE2"/>
      </patternFill>
    </fill>
    <fill>
      <patternFill patternType="solid">
        <fgColor rgb="FF2F6B4F"/>
        <bgColor rgb="FF2F6B4F"/>
      </patternFill>
    </fill>
    <fill>
      <patternFill patternType="solid">
        <fgColor rgb="FFF4FAF6"/>
        <bgColor rgb="FFF4FAF6"/>
      </patternFill>
    </fill>
    <fill>
      <patternFill patternType="solid">
        <fgColor rgb="FFD9EAD3"/>
        <bgColor rgb="FFD9EAD3"/>
      </patternFill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FFF4C0"/>
        <bgColor rgb="FFFFF4C0"/>
      </patternFill>
    </fill>
    <fill>
      <patternFill patternType="solid">
        <fgColor rgb="FFC6EFCE"/>
        <bgColor rgb="FFC6EFCE"/>
      </patternFill>
    </fill>
    <fill>
      <patternFill patternType="solid">
        <fgColor rgb="FFEFEFEF"/>
        <bgColor rgb="FFEFEFEF"/>
      </patternFill>
    </fill>
    <fill>
      <patternFill patternType="solid">
        <fgColor rgb="FFFFC7CE"/>
        <bgColor rgb="FFFFC7CE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000000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43">
    <xf numFmtId="0" fontId="0" fillId="0" borderId="0" xfId="0" applyFont="1" applyAlignment="1"/>
    <xf numFmtId="0" fontId="2" fillId="0" borderId="0" xfId="0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4" fillId="4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6" fillId="9" borderId="1" xfId="0" applyFont="1" applyFill="1" applyBorder="1" applyAlignment="1">
      <alignment horizontal="right" vertical="center"/>
    </xf>
    <xf numFmtId="0" fontId="16" fillId="9" borderId="1" xfId="0" applyFont="1" applyFill="1" applyBorder="1" applyAlignment="1">
      <alignment vertical="center"/>
    </xf>
    <xf numFmtId="0" fontId="17" fillId="10" borderId="1" xfId="0" applyFont="1" applyFill="1" applyBorder="1" applyAlignment="1">
      <alignment vertical="center"/>
    </xf>
    <xf numFmtId="0" fontId="16" fillId="9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14" fontId="13" fillId="11" borderId="1" xfId="0" applyNumberFormat="1" applyFont="1" applyFill="1" applyBorder="1" applyAlignment="1">
      <alignment vertical="center"/>
    </xf>
    <xf numFmtId="0" fontId="13" fillId="11" borderId="2" xfId="0" applyFont="1" applyFill="1" applyBorder="1" applyAlignment="1">
      <alignment vertical="center"/>
    </xf>
    <xf numFmtId="0" fontId="18" fillId="5" borderId="0" xfId="0" applyFont="1" applyFill="1" applyAlignment="1">
      <alignment horizontal="center"/>
    </xf>
    <xf numFmtId="0" fontId="19" fillId="12" borderId="1" xfId="0" applyFont="1" applyFill="1" applyBorder="1" applyAlignment="1">
      <alignment vertical="center"/>
    </xf>
    <xf numFmtId="0" fontId="2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vertical="center"/>
    </xf>
    <xf numFmtId="0" fontId="13" fillId="11" borderId="1" xfId="0" applyNumberFormat="1" applyFont="1" applyFill="1" applyBorder="1" applyAlignment="1">
      <alignment vertical="center"/>
    </xf>
    <xf numFmtId="0" fontId="13" fillId="11" borderId="2" xfId="0" applyNumberFormat="1" applyFont="1" applyFill="1" applyBorder="1" applyAlignment="1">
      <alignment vertical="center"/>
    </xf>
    <xf numFmtId="0" fontId="0" fillId="0" borderId="0" xfId="0" applyFont="1" applyAlignment="1"/>
    <xf numFmtId="0" fontId="3" fillId="3" borderId="0" xfId="0" applyFont="1" applyFill="1" applyAlignment="1">
      <alignment horizontal="center" vertical="center"/>
    </xf>
    <xf numFmtId="0" fontId="0" fillId="0" borderId="0" xfId="0" applyFont="1" applyAlignment="1"/>
    <xf numFmtId="0" fontId="13" fillId="0" borderId="0" xfId="0" applyFont="1" applyAlignment="1">
      <alignment vertical="center" wrapText="1"/>
    </xf>
    <xf numFmtId="0" fontId="15" fillId="4" borderId="0" xfId="0" applyFont="1" applyFill="1" applyAlignment="1">
      <alignment vertical="center"/>
    </xf>
    <xf numFmtId="0" fontId="5" fillId="5" borderId="0" xfId="0" applyFont="1" applyFill="1" applyAlignment="1">
      <alignment vertical="center" wrapText="1"/>
    </xf>
    <xf numFmtId="0" fontId="4" fillId="4" borderId="0" xfId="0" applyFont="1" applyFill="1" applyAlignment="1">
      <alignment horizontal="left" vertical="center"/>
    </xf>
    <xf numFmtId="0" fontId="3" fillId="5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 wrapText="1"/>
    </xf>
    <xf numFmtId="0" fontId="4" fillId="4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2" fillId="11" borderId="1" xfId="0" applyFont="1" applyFill="1" applyBorder="1" applyAlignment="1">
      <alignment vertical="center"/>
    </xf>
    <xf numFmtId="0" fontId="2" fillId="11" borderId="1" xfId="0" applyNumberFormat="1" applyFont="1" applyFill="1" applyBorder="1" applyAlignment="1">
      <alignment vertical="center"/>
    </xf>
    <xf numFmtId="0" fontId="2" fillId="11" borderId="2" xfId="0" applyNumberFormat="1" applyFont="1" applyFill="1" applyBorder="1" applyAlignment="1">
      <alignment vertical="center"/>
    </xf>
    <xf numFmtId="0" fontId="21" fillId="9" borderId="1" xfId="1" applyFill="1" applyBorder="1" applyAlignment="1">
      <alignment vertical="center"/>
    </xf>
    <xf numFmtId="0" fontId="21" fillId="9" borderId="1" xfId="1" applyFont="1" applyFill="1" applyBorder="1" applyAlignment="1">
      <alignment vertical="center"/>
    </xf>
  </cellXfs>
  <cellStyles count="2">
    <cellStyle name="Hipervínculo" xfId="1" builtinId="8"/>
    <cellStyle name="Normal" xfId="0" builtinId="0"/>
  </cellStyles>
  <dxfs count="13"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ont>
        <b/>
        <color rgb="FF0B4F3C"/>
      </font>
      <fill>
        <patternFill patternType="solid">
          <fgColor rgb="FFDCEFE3"/>
          <bgColor rgb="FFDCEFE3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1">
    <tableStyle name="02_Subdominios-style" pivot="0" count="4" xr9:uid="{00000000-0011-0000-FFFF-FFFF00000000}">
      <tableStyleElement type="wholeTable" size="0" dxfId="12"/>
      <tableStyleElement type="headerRow" dxfId="11"/>
      <tableStyleElement type="firstRowStripe" dxfId="10"/>
      <tableStyleElement type="secondRow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ubdominios_Modelo" displayName="Subdominios_Modelo" ref="A5:S151">
  <autoFilter ref="A5:S151" xr:uid="{00000000-0009-0000-0100-000001000000}"/>
  <tableColumns count="19">
    <tableColumn id="1" xr3:uid="{00000000-0010-0000-0000-000001000000}" name="No."/>
    <tableColumn id="2" xr3:uid="{00000000-0010-0000-0000-000002000000}" name="Subdominio"/>
    <tableColumn id="3" xr3:uid="{00000000-0010-0000-0000-000003000000}" name="Estatus observado DGCiber"/>
    <tableColumn id="4" xr3:uid="{00000000-0010-0000-0000-000004000000}" name="Detalle técnico DGCiber"/>
    <tableColumn id="5" xr3:uid="{00000000-0010-0000-0000-000005000000}" name="Código HTTP"/>
    <tableColumn id="6" xr3:uid="{00000000-0010-0000-0000-000006000000}" name="Esquema"/>
    <tableColumn id="7" xr3:uid="{00000000-0010-0000-0000-000007000000}" name="Dirección IP"/>
    <tableColumn id="8" xr3:uid="{00000000-0010-0000-0000-000008000000}" name="CNAME"/>
    <tableColumn id="9" xr3:uid="{00000000-0010-0000-0000-000009000000}" name="Servidor"/>
    <tableColumn id="10" xr3:uid="{00000000-0010-0000-0000-00000A000000}" name="Título de la página"/>
    <tableColumn id="11" xr3:uid="{00000000-0010-0000-0000-00000B000000}" name="URL final"/>
    <tableColumn id="12" xr3:uid="{00000000-0010-0000-0000-00000C000000}" name="Situación institucional"/>
    <tableColumn id="13" xr3:uid="{00000000-0010-0000-0000-00000D000000}" name="Sistema / servicio asociado"/>
    <tableColumn id="14" xr3:uid="{00000000-0010-0000-0000-00000E000000}" name="Área responsable"/>
    <tableColumn id="15" xr3:uid="{00000000-0010-0000-0000-00000F000000}" name="Estado de atención"/>
    <tableColumn id="16" xr3:uid="{00000000-0010-0000-0000-000010000000}" name="Resultado revisión IDOR"/>
    <tableColumn id="17" xr3:uid="{00000000-0010-0000-0000-000011000000}" name="Fecha de atención"/>
    <tableColumn id="18" xr3:uid="{00000000-0010-0000-0000-000012000000}" name="Evidencia / referencia"/>
    <tableColumn id="19" xr3:uid="{00000000-0010-0000-0000-000013000000}" name="Observaciones"/>
  </tableColumns>
  <tableStyleInfo name="02_Subdominio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ira.inaoep.mx/" TargetMode="External"/><Relationship Id="rId2" Type="http://schemas.openxmlformats.org/officeDocument/2006/relationships/hyperlink" Target="https://titulo-electronico.inaoep.mx/inaoe/" TargetMode="External"/><Relationship Id="rId1" Type="http://schemas.openxmlformats.org/officeDocument/2006/relationships/hyperlink" Target="https://titulo-electronico.inaoep.mx/inaoe/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1000"/>
  <sheetViews>
    <sheetView zoomScale="80" zoomScaleNormal="80" workbookViewId="0">
      <selection activeCell="L14" sqref="L14"/>
    </sheetView>
  </sheetViews>
  <sheetFormatPr baseColWidth="10" defaultColWidth="12.625" defaultRowHeight="15" customHeight="1"/>
  <cols>
    <col min="1" max="1" width="23" customWidth="1"/>
    <col min="2" max="2" width="40.875" customWidth="1"/>
    <col min="3" max="3" width="11" customWidth="1"/>
    <col min="4" max="4" width="13.625" customWidth="1"/>
    <col min="5" max="6" width="14.5" customWidth="1"/>
    <col min="7" max="7" width="15.125" customWidth="1"/>
    <col min="8" max="8" width="10.25" customWidth="1"/>
    <col min="9" max="9" width="14.25" customWidth="1"/>
    <col min="10" max="10" width="14.875" customWidth="1"/>
    <col min="11" max="27" width="8.625" customWidth="1"/>
  </cols>
  <sheetData>
    <row r="1" spans="1:27" ht="30" customHeight="1">
      <c r="A1" s="31" t="s">
        <v>0</v>
      </c>
      <c r="B1" s="25"/>
      <c r="C1" s="25"/>
      <c r="D1" s="25"/>
      <c r="E1" s="25"/>
      <c r="F1" s="25"/>
      <c r="G1" s="25"/>
      <c r="H1" s="25"/>
      <c r="I1" s="25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4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1.5" customHeight="1">
      <c r="A3" s="32" t="s">
        <v>1</v>
      </c>
      <c r="B3" s="25"/>
      <c r="C3" s="25"/>
      <c r="D3" s="25"/>
      <c r="E3" s="25"/>
      <c r="F3" s="25"/>
      <c r="G3" s="25"/>
      <c r="H3" s="25"/>
      <c r="I3" s="25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4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5.75">
      <c r="A5" s="29" t="s">
        <v>2</v>
      </c>
      <c r="B5" s="25"/>
      <c r="C5" s="25"/>
      <c r="D5" s="25"/>
      <c r="E5" s="25"/>
      <c r="F5" s="25"/>
      <c r="G5" s="25"/>
      <c r="H5" s="25"/>
      <c r="I5" s="2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27.75" customHeight="1">
      <c r="A6" s="28" t="s">
        <v>3</v>
      </c>
      <c r="B6" s="25"/>
      <c r="C6" s="25"/>
      <c r="D6" s="25"/>
      <c r="E6" s="25"/>
      <c r="F6" s="25"/>
      <c r="G6" s="25"/>
      <c r="H6" s="25"/>
      <c r="I6" s="25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27.75" customHeight="1">
      <c r="A7" s="25"/>
      <c r="B7" s="25"/>
      <c r="C7" s="25"/>
      <c r="D7" s="25"/>
      <c r="E7" s="25"/>
      <c r="F7" s="25"/>
      <c r="G7" s="25"/>
      <c r="H7" s="25"/>
      <c r="I7" s="25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7.75" customHeight="1">
      <c r="A8" s="25"/>
      <c r="B8" s="25"/>
      <c r="C8" s="25"/>
      <c r="D8" s="25"/>
      <c r="E8" s="25"/>
      <c r="F8" s="25"/>
      <c r="G8" s="25"/>
      <c r="H8" s="25"/>
      <c r="I8" s="25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4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5.75">
      <c r="A10" s="33" t="s">
        <v>5</v>
      </c>
      <c r="B10" s="25"/>
      <c r="C10" s="25"/>
      <c r="D10" s="25"/>
      <c r="E10" s="25"/>
      <c r="F10" s="25"/>
      <c r="G10" s="25"/>
      <c r="H10" s="25"/>
      <c r="I10" s="25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4" t="s">
        <v>8</v>
      </c>
      <c r="B11" s="4" t="s">
        <v>10</v>
      </c>
      <c r="C11" s="1"/>
      <c r="D11" s="24" t="s">
        <v>11</v>
      </c>
      <c r="E11" s="25"/>
      <c r="F11" s="25"/>
      <c r="G11" s="25"/>
      <c r="H11" s="25"/>
      <c r="I11" s="25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28.5">
      <c r="A12" s="6" t="s">
        <v>12</v>
      </c>
      <c r="B12" s="6" t="s">
        <v>13</v>
      </c>
      <c r="C12" s="1"/>
      <c r="D12" s="30" t="s">
        <v>14</v>
      </c>
      <c r="E12" s="25"/>
      <c r="F12" s="25"/>
      <c r="G12" s="26" t="s">
        <v>15</v>
      </c>
      <c r="H12" s="25"/>
      <c r="I12" s="25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28.5">
      <c r="A13" s="6" t="s">
        <v>16</v>
      </c>
      <c r="B13" s="6" t="s">
        <v>17</v>
      </c>
      <c r="C13" s="1"/>
      <c r="D13" s="30" t="s">
        <v>18</v>
      </c>
      <c r="E13" s="25"/>
      <c r="F13" s="25"/>
      <c r="G13" s="26" t="s">
        <v>19</v>
      </c>
      <c r="H13" s="25"/>
      <c r="I13" s="25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4.25">
      <c r="A14" s="6" t="s">
        <v>21</v>
      </c>
      <c r="B14" s="6" t="s">
        <v>22</v>
      </c>
      <c r="C14" s="1"/>
      <c r="D14" s="30" t="s">
        <v>23</v>
      </c>
      <c r="E14" s="25"/>
      <c r="F14" s="25"/>
      <c r="G14" s="26" t="s">
        <v>24</v>
      </c>
      <c r="H14" s="25"/>
      <c r="I14" s="25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4.25">
      <c r="A15" s="6" t="s">
        <v>28</v>
      </c>
      <c r="B15" s="6" t="s">
        <v>29</v>
      </c>
      <c r="C15" s="1"/>
      <c r="D15" s="30" t="s">
        <v>31</v>
      </c>
      <c r="E15" s="25"/>
      <c r="F15" s="25"/>
      <c r="G15" s="26" t="s">
        <v>32</v>
      </c>
      <c r="H15" s="25"/>
      <c r="I15" s="25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42.75">
      <c r="A16" s="6" t="s">
        <v>38</v>
      </c>
      <c r="B16" s="6" t="s">
        <v>39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8.5">
      <c r="A17" s="6" t="s">
        <v>41</v>
      </c>
      <c r="B17" s="6" t="s">
        <v>42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28.5">
      <c r="A18" s="6" t="s">
        <v>44</v>
      </c>
      <c r="B18" s="6" t="s">
        <v>46</v>
      </c>
      <c r="C18" s="1"/>
      <c r="D18" s="27" t="s">
        <v>47</v>
      </c>
      <c r="E18" s="25"/>
      <c r="F18" s="25"/>
      <c r="G18" s="25"/>
      <c r="H18" s="25"/>
      <c r="I18" s="25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4.25">
      <c r="A19" s="6" t="s">
        <v>45</v>
      </c>
      <c r="B19" s="6" t="s">
        <v>50</v>
      </c>
      <c r="C19" s="1"/>
      <c r="D19" s="28" t="s">
        <v>51</v>
      </c>
      <c r="E19" s="25"/>
      <c r="F19" s="25"/>
      <c r="G19" s="25"/>
      <c r="H19" s="25"/>
      <c r="I19" s="2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4.25">
      <c r="A20" s="1"/>
      <c r="B20" s="1"/>
      <c r="C20" s="1"/>
      <c r="D20" s="25"/>
      <c r="E20" s="25"/>
      <c r="F20" s="25"/>
      <c r="G20" s="25"/>
      <c r="H20" s="25"/>
      <c r="I20" s="25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5.75" customHeight="1">
      <c r="A21" s="1"/>
      <c r="B21" s="1"/>
      <c r="C21" s="1"/>
      <c r="D21" s="25"/>
      <c r="E21" s="25"/>
      <c r="F21" s="25"/>
      <c r="G21" s="25"/>
      <c r="H21" s="25"/>
      <c r="I21" s="25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5.75" customHeight="1">
      <c r="A23" s="29" t="s">
        <v>59</v>
      </c>
      <c r="B23" s="25"/>
      <c r="C23" s="25"/>
      <c r="D23" s="25"/>
      <c r="E23" s="25"/>
      <c r="F23" s="25"/>
      <c r="G23" s="25"/>
      <c r="H23" s="25"/>
      <c r="I23" s="25"/>
      <c r="J23" s="2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42" customHeight="1">
      <c r="A24" s="14" t="s">
        <v>60</v>
      </c>
      <c r="B24" s="14" t="s">
        <v>61</v>
      </c>
      <c r="C24" s="14" t="s">
        <v>23</v>
      </c>
      <c r="D24" s="14" t="s">
        <v>31</v>
      </c>
      <c r="E24" s="14" t="s">
        <v>18</v>
      </c>
      <c r="F24" s="14" t="s">
        <v>62</v>
      </c>
      <c r="G24" s="14" t="s">
        <v>63</v>
      </c>
      <c r="H24" s="14" t="s">
        <v>64</v>
      </c>
      <c r="I24" s="14" t="s">
        <v>65</v>
      </c>
      <c r="J24" s="14" t="s">
        <v>66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27.75" customHeight="1">
      <c r="A25" s="17">
        <f>COUNTIF('02_Subdominios'!A10:A780,"&lt;&gt;")</f>
        <v>140</v>
      </c>
      <c r="B25" s="17">
        <f>COUNTIF('02_Subdominios'!C10:C780,"Activo")</f>
        <v>35</v>
      </c>
      <c r="C25" s="17">
        <f>COUNTIF('02_Subdominios'!D10:D780,"No resuelve DNS")</f>
        <v>8</v>
      </c>
      <c r="D25" s="17">
        <f>COUNTIF('02_Subdominios'!D10:D780,"CNAME sin resolución (posible registro colgante)")</f>
        <v>0</v>
      </c>
      <c r="E25" s="17">
        <f>COUNTIF('02_Subdominios'!D10:D780,"Resuelve DNS, sin respuesta web")</f>
        <v>97</v>
      </c>
      <c r="F25" s="17">
        <f>COUNTA('02_Subdominios'!L6:L780)</f>
        <v>4</v>
      </c>
      <c r="G25" s="17">
        <f>A25-F25</f>
        <v>136</v>
      </c>
      <c r="H25" s="17">
        <f>COUNTIF('02_Subdominios'!L6:L780,"Vigente")</f>
        <v>3</v>
      </c>
      <c r="I25" s="17">
        <f>COUNTIF('02_Subdominios'!O6:O780,"Concluido")</f>
        <v>2</v>
      </c>
      <c r="J25" s="17">
        <f>COUNTIF('02_Subdominios'!P6:P780,"Con hallazgos")</f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</sheetData>
  <mergeCells count="17">
    <mergeCell ref="A1:I1"/>
    <mergeCell ref="A3:I3"/>
    <mergeCell ref="A5:I5"/>
    <mergeCell ref="A6:I8"/>
    <mergeCell ref="A10:I10"/>
    <mergeCell ref="D11:I11"/>
    <mergeCell ref="G12:I12"/>
    <mergeCell ref="D18:I18"/>
    <mergeCell ref="D19:I21"/>
    <mergeCell ref="A23:J23"/>
    <mergeCell ref="D12:F12"/>
    <mergeCell ref="D13:F13"/>
    <mergeCell ref="G13:I13"/>
    <mergeCell ref="D14:F14"/>
    <mergeCell ref="G14:I14"/>
    <mergeCell ref="D15:F15"/>
    <mergeCell ref="G15:I15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56"/>
  <sheetViews>
    <sheetView tabSelected="1" topLeftCell="K1" zoomScale="115" zoomScaleNormal="115" workbookViewId="0">
      <selection activeCell="N9" sqref="N9"/>
    </sheetView>
  </sheetViews>
  <sheetFormatPr baseColWidth="10" defaultColWidth="12.625" defaultRowHeight="15" customHeight="1"/>
  <cols>
    <col min="1" max="1" width="15.5" customWidth="1"/>
    <col min="2" max="2" width="26.875" customWidth="1"/>
    <col min="4" max="4" width="25.375" customWidth="1"/>
    <col min="5" max="5" width="10" customWidth="1"/>
    <col min="6" max="6" width="11.625" customWidth="1"/>
    <col min="7" max="7" width="13.875" customWidth="1"/>
    <col min="8" max="8" width="23.5" bestFit="1" customWidth="1"/>
    <col min="9" max="9" width="35.25" customWidth="1"/>
    <col min="10" max="10" width="54.75" customWidth="1"/>
    <col min="11" max="11" width="36.5" customWidth="1"/>
    <col min="12" max="12" width="35.25" customWidth="1"/>
    <col min="13" max="13" width="24.75" customWidth="1"/>
    <col min="14" max="14" width="17.375" customWidth="1"/>
    <col min="15" max="15" width="13.625" customWidth="1"/>
    <col min="16" max="16" width="18.25" customWidth="1"/>
    <col min="17" max="17" width="12.75" customWidth="1"/>
    <col min="18" max="18" width="20.625" customWidth="1"/>
    <col min="19" max="19" width="17" customWidth="1"/>
    <col min="20" max="26" width="8.625" customWidth="1"/>
  </cols>
  <sheetData>
    <row r="1" spans="1:26" ht="18">
      <c r="A1" s="34" t="s">
        <v>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"/>
      <c r="U1" s="2"/>
      <c r="V1" s="2"/>
      <c r="W1" s="2"/>
      <c r="X1" s="2"/>
      <c r="Y1" s="2"/>
      <c r="Z1" s="2"/>
    </row>
    <row r="2" spans="1:26" ht="32.25" customHeight="1">
      <c r="A2" s="35" t="s">
        <v>6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3"/>
      <c r="U2" s="3"/>
      <c r="V2" s="3"/>
      <c r="W2" s="3"/>
      <c r="X2" s="3"/>
      <c r="Y2" s="3"/>
      <c r="Z2" s="3"/>
    </row>
    <row r="3" spans="1:26" ht="16.5">
      <c r="A3" s="36" t="s">
        <v>7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37" t="s">
        <v>9</v>
      </c>
      <c r="M3" s="25"/>
      <c r="N3" s="25"/>
      <c r="O3" s="25"/>
      <c r="P3" s="25"/>
      <c r="Q3" s="25"/>
      <c r="R3" s="25"/>
      <c r="S3" s="25"/>
      <c r="T3" s="3"/>
      <c r="U3" s="3"/>
      <c r="V3" s="3"/>
      <c r="W3" s="3"/>
      <c r="X3" s="3"/>
      <c r="Y3" s="3"/>
      <c r="Z3" s="3"/>
    </row>
    <row r="4" spans="1:26" ht="14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38.25">
      <c r="A5" s="7" t="s">
        <v>20</v>
      </c>
      <c r="B5" s="7" t="s">
        <v>25</v>
      </c>
      <c r="C5" s="7" t="s">
        <v>26</v>
      </c>
      <c r="D5" s="7" t="s">
        <v>27</v>
      </c>
      <c r="E5" s="7" t="s">
        <v>30</v>
      </c>
      <c r="F5" s="7" t="s">
        <v>33</v>
      </c>
      <c r="G5" s="7" t="s">
        <v>34</v>
      </c>
      <c r="H5" s="7" t="s">
        <v>35</v>
      </c>
      <c r="I5" s="7" t="s">
        <v>36</v>
      </c>
      <c r="J5" s="7" t="s">
        <v>37</v>
      </c>
      <c r="K5" s="7" t="s">
        <v>40</v>
      </c>
      <c r="L5" s="8" t="s">
        <v>12</v>
      </c>
      <c r="M5" s="8" t="s">
        <v>16</v>
      </c>
      <c r="N5" s="8" t="s">
        <v>21</v>
      </c>
      <c r="O5" s="8" t="s">
        <v>28</v>
      </c>
      <c r="P5" s="8" t="s">
        <v>43</v>
      </c>
      <c r="Q5" s="8" t="s">
        <v>41</v>
      </c>
      <c r="R5" s="8" t="s">
        <v>44</v>
      </c>
      <c r="S5" s="8" t="s">
        <v>45</v>
      </c>
      <c r="T5" s="5"/>
      <c r="U5" s="5"/>
      <c r="V5" s="5"/>
      <c r="W5" s="5"/>
      <c r="X5" s="5"/>
      <c r="Y5" s="5"/>
      <c r="Z5" s="5"/>
    </row>
    <row r="6" spans="1:26">
      <c r="A6" s="9">
        <v>130</v>
      </c>
      <c r="B6" s="10" t="s">
        <v>350</v>
      </c>
      <c r="C6" s="11" t="s">
        <v>49</v>
      </c>
      <c r="D6" s="10" t="s">
        <v>52</v>
      </c>
      <c r="E6" s="12">
        <v>200</v>
      </c>
      <c r="F6" s="12" t="s">
        <v>53</v>
      </c>
      <c r="G6" s="10" t="s">
        <v>351</v>
      </c>
      <c r="H6" s="10" t="s">
        <v>350</v>
      </c>
      <c r="I6" s="10" t="s">
        <v>164</v>
      </c>
      <c r="J6" s="10" t="s">
        <v>352</v>
      </c>
      <c r="K6" s="42" t="s">
        <v>353</v>
      </c>
      <c r="L6" s="13" t="s">
        <v>372</v>
      </c>
      <c r="M6" s="38" t="s">
        <v>352</v>
      </c>
      <c r="N6" s="38" t="s">
        <v>376</v>
      </c>
      <c r="O6" s="13" t="s">
        <v>378</v>
      </c>
      <c r="P6" s="13"/>
      <c r="Q6" s="15"/>
      <c r="R6" s="13"/>
      <c r="S6" s="16"/>
      <c r="T6" s="5"/>
      <c r="U6" s="5"/>
      <c r="V6" s="5"/>
      <c r="W6" s="5"/>
      <c r="X6" s="5"/>
      <c r="Y6" s="5"/>
      <c r="Z6" s="5"/>
    </row>
    <row r="7" spans="1:26" s="23" customFormat="1">
      <c r="A7" s="9">
        <v>122</v>
      </c>
      <c r="B7" s="10" t="s">
        <v>331</v>
      </c>
      <c r="C7" s="11" t="s">
        <v>49</v>
      </c>
      <c r="D7" s="10" t="s">
        <v>52</v>
      </c>
      <c r="E7" s="12">
        <v>200</v>
      </c>
      <c r="F7" s="12" t="s">
        <v>53</v>
      </c>
      <c r="G7" s="10" t="s">
        <v>263</v>
      </c>
      <c r="H7" s="10" t="s">
        <v>262</v>
      </c>
      <c r="I7" s="10" t="s">
        <v>164</v>
      </c>
      <c r="J7" s="10" t="s">
        <v>374</v>
      </c>
      <c r="K7" s="41" t="s">
        <v>332</v>
      </c>
      <c r="L7" s="13" t="s">
        <v>372</v>
      </c>
      <c r="M7" s="38" t="s">
        <v>374</v>
      </c>
      <c r="N7" s="38" t="s">
        <v>376</v>
      </c>
      <c r="O7" s="13" t="s">
        <v>377</v>
      </c>
      <c r="P7" s="13"/>
      <c r="Q7" s="15"/>
      <c r="R7" s="13"/>
      <c r="S7" s="16"/>
      <c r="T7" s="5"/>
      <c r="U7" s="5"/>
      <c r="V7" s="5"/>
      <c r="W7" s="5"/>
      <c r="X7" s="5"/>
      <c r="Y7" s="5"/>
      <c r="Z7" s="5"/>
    </row>
    <row r="8" spans="1:26" s="23" customFormat="1">
      <c r="A8" s="9">
        <v>123</v>
      </c>
      <c r="B8" s="10" t="s">
        <v>333</v>
      </c>
      <c r="C8" s="11" t="s">
        <v>49</v>
      </c>
      <c r="D8" s="10" t="s">
        <v>52</v>
      </c>
      <c r="E8" s="12">
        <v>200</v>
      </c>
      <c r="F8" s="12" t="s">
        <v>53</v>
      </c>
      <c r="G8" s="10" t="s">
        <v>334</v>
      </c>
      <c r="H8" s="10" t="s">
        <v>333</v>
      </c>
      <c r="I8" s="10" t="s">
        <v>335</v>
      </c>
      <c r="J8" s="10" t="s">
        <v>336</v>
      </c>
      <c r="K8" s="10" t="s">
        <v>337</v>
      </c>
      <c r="L8" s="13" t="s">
        <v>372</v>
      </c>
      <c r="M8" s="13" t="s">
        <v>336</v>
      </c>
      <c r="N8" s="38" t="s">
        <v>376</v>
      </c>
      <c r="O8" s="13" t="s">
        <v>377</v>
      </c>
      <c r="P8" s="13"/>
      <c r="Q8" s="15"/>
      <c r="R8" s="13"/>
      <c r="S8" s="16"/>
      <c r="T8" s="5"/>
      <c r="U8" s="5"/>
      <c r="V8" s="5"/>
      <c r="W8" s="5"/>
      <c r="X8" s="5"/>
      <c r="Y8" s="5"/>
      <c r="Z8" s="5"/>
    </row>
    <row r="9" spans="1:26" s="23" customFormat="1">
      <c r="A9" s="9">
        <v>93</v>
      </c>
      <c r="B9" s="10" t="s">
        <v>262</v>
      </c>
      <c r="C9" s="11" t="s">
        <v>49</v>
      </c>
      <c r="D9" s="10" t="s">
        <v>52</v>
      </c>
      <c r="E9" s="12">
        <v>303</v>
      </c>
      <c r="F9" s="12" t="s">
        <v>53</v>
      </c>
      <c r="G9" s="10" t="s">
        <v>263</v>
      </c>
      <c r="H9" s="20"/>
      <c r="I9" s="10" t="s">
        <v>164</v>
      </c>
      <c r="J9" s="10" t="s">
        <v>264</v>
      </c>
      <c r="K9" s="10" t="s">
        <v>265</v>
      </c>
      <c r="L9" s="13" t="s">
        <v>373</v>
      </c>
      <c r="M9" s="38" t="s">
        <v>375</v>
      </c>
      <c r="N9" s="38" t="s">
        <v>376</v>
      </c>
      <c r="O9" s="13" t="s">
        <v>378</v>
      </c>
      <c r="P9" s="13"/>
      <c r="Q9" s="15"/>
      <c r="R9" s="13"/>
      <c r="S9" s="16"/>
      <c r="T9" s="5"/>
      <c r="U9" s="5"/>
      <c r="V9" s="5"/>
      <c r="W9" s="5"/>
      <c r="X9" s="5"/>
      <c r="Y9" s="5"/>
      <c r="Z9" s="5"/>
    </row>
    <row r="10" spans="1:26" s="23" customFormat="1">
      <c r="A10" s="9"/>
      <c r="B10" s="10"/>
      <c r="C10" s="11"/>
      <c r="D10" s="10"/>
      <c r="E10" s="12"/>
      <c r="F10" s="12"/>
      <c r="G10" s="10"/>
      <c r="H10" s="10"/>
      <c r="I10" s="10"/>
      <c r="J10" s="10"/>
      <c r="K10" s="10"/>
      <c r="L10" s="13"/>
      <c r="M10" s="13"/>
      <c r="N10" s="13"/>
      <c r="O10" s="13"/>
      <c r="P10" s="13"/>
      <c r="Q10" s="15"/>
      <c r="R10" s="13"/>
      <c r="S10" s="16"/>
      <c r="T10" s="5"/>
      <c r="U10" s="5"/>
      <c r="V10" s="5"/>
      <c r="W10" s="5"/>
      <c r="X10" s="5"/>
      <c r="Y10" s="5"/>
      <c r="Z10" s="5"/>
    </row>
    <row r="11" spans="1:26" s="23" customFormat="1">
      <c r="A11" s="9"/>
      <c r="B11" s="10"/>
      <c r="C11" s="11"/>
      <c r="D11" s="10"/>
      <c r="E11" s="12"/>
      <c r="F11" s="12"/>
      <c r="G11" s="10"/>
      <c r="H11" s="10"/>
      <c r="I11" s="10"/>
      <c r="J11" s="10"/>
      <c r="K11" s="10"/>
      <c r="L11" s="13"/>
      <c r="M11" s="13"/>
      <c r="N11" s="13"/>
      <c r="O11" s="13"/>
      <c r="P11" s="13"/>
      <c r="Q11" s="15"/>
      <c r="R11" s="13"/>
      <c r="S11" s="16"/>
      <c r="T11" s="5"/>
      <c r="U11" s="5"/>
      <c r="V11" s="5"/>
      <c r="W11" s="5"/>
      <c r="X11" s="5"/>
      <c r="Y11" s="5"/>
      <c r="Z11" s="5"/>
    </row>
    <row r="12" spans="1:26" s="23" customFormat="1">
      <c r="A12" s="9">
        <v>1</v>
      </c>
      <c r="B12" s="10" t="s">
        <v>48</v>
      </c>
      <c r="C12" s="11" t="s">
        <v>49</v>
      </c>
      <c r="D12" s="10" t="s">
        <v>52</v>
      </c>
      <c r="E12" s="12">
        <v>200</v>
      </c>
      <c r="F12" s="12" t="s">
        <v>53</v>
      </c>
      <c r="G12" s="10" t="s">
        <v>54</v>
      </c>
      <c r="H12" s="10" t="s">
        <v>55</v>
      </c>
      <c r="I12" s="10" t="s">
        <v>56</v>
      </c>
      <c r="J12" s="10" t="s">
        <v>57</v>
      </c>
      <c r="K12" s="10" t="s">
        <v>58</v>
      </c>
      <c r="L12" s="13"/>
      <c r="M12" s="13"/>
      <c r="N12" s="13"/>
      <c r="O12" s="13"/>
      <c r="P12" s="13"/>
      <c r="Q12" s="15"/>
      <c r="R12" s="13"/>
      <c r="S12" s="16"/>
      <c r="T12" s="5"/>
      <c r="U12" s="5"/>
      <c r="V12" s="5"/>
      <c r="W12" s="5"/>
      <c r="X12" s="5"/>
      <c r="Y12" s="5"/>
      <c r="Z12" s="5"/>
    </row>
    <row r="13" spans="1:26">
      <c r="A13" s="9">
        <v>2</v>
      </c>
      <c r="B13" s="10" t="s">
        <v>67</v>
      </c>
      <c r="C13" s="18" t="s">
        <v>68</v>
      </c>
      <c r="D13" s="10" t="s">
        <v>18</v>
      </c>
      <c r="E13" s="19"/>
      <c r="F13" s="19"/>
      <c r="G13" s="10" t="s">
        <v>69</v>
      </c>
      <c r="H13" s="20"/>
      <c r="I13" s="20"/>
      <c r="J13" s="20"/>
      <c r="K13" s="20"/>
      <c r="L13" s="21"/>
      <c r="M13" s="21"/>
      <c r="N13" s="21"/>
      <c r="O13" s="21"/>
      <c r="P13" s="21"/>
      <c r="Q13" s="21"/>
      <c r="R13" s="21"/>
      <c r="S13" s="22"/>
      <c r="T13" s="5"/>
      <c r="U13" s="5"/>
      <c r="V13" s="5"/>
      <c r="W13" s="5"/>
      <c r="X13" s="5"/>
      <c r="Y13" s="5"/>
      <c r="Z13" s="5"/>
    </row>
    <row r="14" spans="1:26">
      <c r="A14" s="9">
        <v>3</v>
      </c>
      <c r="B14" s="10" t="s">
        <v>70</v>
      </c>
      <c r="C14" s="18" t="s">
        <v>68</v>
      </c>
      <c r="D14" s="10" t="s">
        <v>18</v>
      </c>
      <c r="E14" s="19"/>
      <c r="F14" s="19"/>
      <c r="G14" s="10" t="s">
        <v>71</v>
      </c>
      <c r="H14" s="20"/>
      <c r="I14" s="20"/>
      <c r="J14" s="20"/>
      <c r="K14" s="20"/>
      <c r="L14" s="21"/>
      <c r="M14" s="21"/>
      <c r="N14" s="21"/>
      <c r="O14" s="21"/>
      <c r="P14" s="21"/>
      <c r="Q14" s="21"/>
      <c r="R14" s="21"/>
      <c r="S14" s="22"/>
      <c r="T14" s="5"/>
      <c r="U14" s="5"/>
      <c r="V14" s="5"/>
      <c r="W14" s="5"/>
      <c r="X14" s="5"/>
      <c r="Y14" s="5"/>
      <c r="Z14" s="5"/>
    </row>
    <row r="15" spans="1:26">
      <c r="A15" s="9">
        <v>4</v>
      </c>
      <c r="B15" s="10" t="s">
        <v>72</v>
      </c>
      <c r="C15" s="18" t="s">
        <v>68</v>
      </c>
      <c r="D15" s="10" t="s">
        <v>18</v>
      </c>
      <c r="E15" s="19"/>
      <c r="F15" s="19"/>
      <c r="G15" s="10" t="s">
        <v>73</v>
      </c>
      <c r="H15" s="20"/>
      <c r="I15" s="20"/>
      <c r="J15" s="20"/>
      <c r="K15" s="20"/>
      <c r="L15" s="21"/>
      <c r="M15" s="21"/>
      <c r="N15" s="21"/>
      <c r="O15" s="21"/>
      <c r="P15" s="21"/>
      <c r="Q15" s="21"/>
      <c r="R15" s="21"/>
      <c r="S15" s="22"/>
      <c r="T15" s="5"/>
      <c r="U15" s="5"/>
      <c r="V15" s="5"/>
      <c r="W15" s="5"/>
      <c r="X15" s="5"/>
      <c r="Y15" s="5"/>
      <c r="Z15" s="5"/>
    </row>
    <row r="16" spans="1:26">
      <c r="A16" s="9">
        <v>5</v>
      </c>
      <c r="B16" s="10" t="s">
        <v>74</v>
      </c>
      <c r="C16" s="18" t="s">
        <v>68</v>
      </c>
      <c r="D16" s="10" t="s">
        <v>18</v>
      </c>
      <c r="E16" s="19"/>
      <c r="F16" s="19"/>
      <c r="G16" s="10" t="s">
        <v>75</v>
      </c>
      <c r="H16" s="20"/>
      <c r="I16" s="20"/>
      <c r="J16" s="20"/>
      <c r="K16" s="20"/>
      <c r="L16" s="21"/>
      <c r="M16" s="21"/>
      <c r="N16" s="21"/>
      <c r="O16" s="21"/>
      <c r="P16" s="21"/>
      <c r="Q16" s="21"/>
      <c r="R16" s="21"/>
      <c r="S16" s="22"/>
      <c r="T16" s="5"/>
      <c r="U16" s="5"/>
      <c r="V16" s="5"/>
      <c r="W16" s="5"/>
      <c r="X16" s="5"/>
      <c r="Y16" s="5"/>
      <c r="Z16" s="5"/>
    </row>
    <row r="17" spans="1:26">
      <c r="A17" s="9">
        <v>6</v>
      </c>
      <c r="B17" s="10" t="s">
        <v>76</v>
      </c>
      <c r="C17" s="18" t="s">
        <v>68</v>
      </c>
      <c r="D17" s="10" t="s">
        <v>18</v>
      </c>
      <c r="E17" s="19"/>
      <c r="F17" s="19"/>
      <c r="G17" s="10" t="s">
        <v>77</v>
      </c>
      <c r="H17" s="20"/>
      <c r="I17" s="20"/>
      <c r="J17" s="20"/>
      <c r="K17" s="20"/>
      <c r="L17" s="21"/>
      <c r="M17" s="21"/>
      <c r="N17" s="21"/>
      <c r="O17" s="21"/>
      <c r="P17" s="21"/>
      <c r="Q17" s="21"/>
      <c r="R17" s="21"/>
      <c r="S17" s="22"/>
      <c r="T17" s="5"/>
      <c r="U17" s="5"/>
      <c r="V17" s="5"/>
      <c r="W17" s="5"/>
      <c r="X17" s="5"/>
      <c r="Y17" s="5"/>
      <c r="Z17" s="5"/>
    </row>
    <row r="18" spans="1:26">
      <c r="A18" s="9">
        <v>7</v>
      </c>
      <c r="B18" s="10" t="s">
        <v>78</v>
      </c>
      <c r="C18" s="18" t="s">
        <v>68</v>
      </c>
      <c r="D18" s="10" t="s">
        <v>18</v>
      </c>
      <c r="E18" s="19"/>
      <c r="F18" s="19"/>
      <c r="G18" s="10" t="s">
        <v>79</v>
      </c>
      <c r="H18" s="20"/>
      <c r="I18" s="20"/>
      <c r="J18" s="20"/>
      <c r="K18" s="20"/>
      <c r="L18" s="21"/>
      <c r="M18" s="21"/>
      <c r="N18" s="21"/>
      <c r="O18" s="21"/>
      <c r="P18" s="21"/>
      <c r="Q18" s="21"/>
      <c r="R18" s="21"/>
      <c r="S18" s="22"/>
      <c r="T18" s="5"/>
      <c r="U18" s="5"/>
      <c r="V18" s="5"/>
      <c r="W18" s="5"/>
      <c r="X18" s="5"/>
      <c r="Y18" s="5"/>
      <c r="Z18" s="5"/>
    </row>
    <row r="19" spans="1:26">
      <c r="A19" s="9">
        <v>8</v>
      </c>
      <c r="B19" s="10" t="s">
        <v>80</v>
      </c>
      <c r="C19" s="18" t="s">
        <v>68</v>
      </c>
      <c r="D19" s="10" t="s">
        <v>23</v>
      </c>
      <c r="E19" s="19"/>
      <c r="F19" s="19"/>
      <c r="G19" s="20"/>
      <c r="H19" s="20"/>
      <c r="I19" s="20"/>
      <c r="J19" s="20"/>
      <c r="K19" s="20"/>
      <c r="L19" s="21"/>
      <c r="M19" s="21"/>
      <c r="N19" s="21"/>
      <c r="O19" s="21"/>
      <c r="P19" s="21"/>
      <c r="Q19" s="21"/>
      <c r="R19" s="21"/>
      <c r="S19" s="22"/>
      <c r="T19" s="5"/>
      <c r="U19" s="5"/>
      <c r="V19" s="5"/>
      <c r="W19" s="5"/>
      <c r="X19" s="5"/>
      <c r="Y19" s="5"/>
      <c r="Z19" s="5"/>
    </row>
    <row r="20" spans="1:26">
      <c r="A20" s="9">
        <v>9</v>
      </c>
      <c r="B20" s="10" t="s">
        <v>81</v>
      </c>
      <c r="C20" s="11" t="s">
        <v>49</v>
      </c>
      <c r="D20" s="10" t="s">
        <v>52</v>
      </c>
      <c r="E20" s="12">
        <v>200</v>
      </c>
      <c r="F20" s="12" t="s">
        <v>53</v>
      </c>
      <c r="G20" s="10" t="s">
        <v>54</v>
      </c>
      <c r="H20" s="20"/>
      <c r="I20" s="10" t="s">
        <v>56</v>
      </c>
      <c r="J20" s="10" t="s">
        <v>82</v>
      </c>
      <c r="K20" s="10" t="s">
        <v>83</v>
      </c>
      <c r="L20" s="21"/>
      <c r="M20" s="21"/>
      <c r="N20" s="21"/>
      <c r="O20" s="21"/>
      <c r="P20" s="21"/>
      <c r="Q20" s="21"/>
      <c r="R20" s="21"/>
      <c r="S20" s="22"/>
      <c r="T20" s="5"/>
      <c r="U20" s="5"/>
      <c r="V20" s="5"/>
      <c r="W20" s="5"/>
      <c r="X20" s="5"/>
      <c r="Y20" s="5"/>
      <c r="Z20" s="5"/>
    </row>
    <row r="21" spans="1:26">
      <c r="A21" s="9">
        <v>10</v>
      </c>
      <c r="B21" s="10" t="s">
        <v>84</v>
      </c>
      <c r="C21" s="18" t="s">
        <v>68</v>
      </c>
      <c r="D21" s="10" t="s">
        <v>18</v>
      </c>
      <c r="E21" s="19"/>
      <c r="F21" s="19"/>
      <c r="G21" s="10" t="s">
        <v>85</v>
      </c>
      <c r="H21" s="20"/>
      <c r="I21" s="20"/>
      <c r="J21" s="20"/>
      <c r="K21" s="20"/>
      <c r="L21" s="21"/>
      <c r="M21" s="21"/>
      <c r="N21" s="21"/>
      <c r="O21" s="21"/>
      <c r="P21" s="21"/>
      <c r="Q21" s="21"/>
      <c r="R21" s="21"/>
      <c r="S21" s="22"/>
      <c r="T21" s="5"/>
      <c r="U21" s="5"/>
      <c r="V21" s="5"/>
      <c r="W21" s="5"/>
      <c r="X21" s="5"/>
      <c r="Y21" s="5"/>
      <c r="Z21" s="5"/>
    </row>
    <row r="22" spans="1:26">
      <c r="A22" s="9">
        <v>11</v>
      </c>
      <c r="B22" s="10" t="s">
        <v>86</v>
      </c>
      <c r="C22" s="18" t="s">
        <v>68</v>
      </c>
      <c r="D22" s="10" t="s">
        <v>18</v>
      </c>
      <c r="E22" s="19"/>
      <c r="F22" s="19"/>
      <c r="G22" s="10" t="s">
        <v>87</v>
      </c>
      <c r="H22" s="20"/>
      <c r="I22" s="20"/>
      <c r="J22" s="20"/>
      <c r="K22" s="20"/>
      <c r="L22" s="21"/>
      <c r="M22" s="21"/>
      <c r="N22" s="21"/>
      <c r="O22" s="21"/>
      <c r="P22" s="21"/>
      <c r="Q22" s="21"/>
      <c r="R22" s="21"/>
      <c r="S22" s="22"/>
      <c r="T22" s="5"/>
      <c r="U22" s="5"/>
      <c r="V22" s="5"/>
      <c r="W22" s="5"/>
      <c r="X22" s="5"/>
      <c r="Y22" s="5"/>
      <c r="Z22" s="5"/>
    </row>
    <row r="23" spans="1:26">
      <c r="A23" s="9">
        <v>12</v>
      </c>
      <c r="B23" s="10" t="s">
        <v>88</v>
      </c>
      <c r="C23" s="18" t="s">
        <v>68</v>
      </c>
      <c r="D23" s="10" t="s">
        <v>18</v>
      </c>
      <c r="E23" s="19"/>
      <c r="F23" s="19"/>
      <c r="G23" s="10" t="s">
        <v>89</v>
      </c>
      <c r="H23" s="20"/>
      <c r="I23" s="20"/>
      <c r="J23" s="20"/>
      <c r="K23" s="20"/>
      <c r="L23" s="21"/>
      <c r="M23" s="21"/>
      <c r="N23" s="21"/>
      <c r="O23" s="21"/>
      <c r="P23" s="21"/>
      <c r="Q23" s="21"/>
      <c r="R23" s="21"/>
      <c r="S23" s="22"/>
      <c r="T23" s="5"/>
      <c r="U23" s="5"/>
      <c r="V23" s="5"/>
      <c r="W23" s="5"/>
      <c r="X23" s="5"/>
      <c r="Y23" s="5"/>
      <c r="Z23" s="5"/>
    </row>
    <row r="24" spans="1:26">
      <c r="A24" s="9">
        <v>13</v>
      </c>
      <c r="B24" s="10" t="s">
        <v>90</v>
      </c>
      <c r="C24" s="18" t="s">
        <v>68</v>
      </c>
      <c r="D24" s="10" t="s">
        <v>18</v>
      </c>
      <c r="E24" s="19"/>
      <c r="F24" s="19"/>
      <c r="G24" s="10" t="s">
        <v>91</v>
      </c>
      <c r="H24" s="20"/>
      <c r="I24" s="20"/>
      <c r="J24" s="20"/>
      <c r="K24" s="20"/>
      <c r="L24" s="21"/>
      <c r="M24" s="21"/>
      <c r="N24" s="21"/>
      <c r="O24" s="21"/>
      <c r="P24" s="21"/>
      <c r="Q24" s="21"/>
      <c r="R24" s="21"/>
      <c r="S24" s="22"/>
      <c r="T24" s="5"/>
      <c r="U24" s="5"/>
      <c r="V24" s="5"/>
      <c r="W24" s="5"/>
      <c r="X24" s="5"/>
      <c r="Y24" s="5"/>
      <c r="Z24" s="5"/>
    </row>
    <row r="25" spans="1:26">
      <c r="A25" s="9">
        <v>14</v>
      </c>
      <c r="B25" s="10" t="s">
        <v>92</v>
      </c>
      <c r="C25" s="18" t="s">
        <v>68</v>
      </c>
      <c r="D25" s="10" t="s">
        <v>18</v>
      </c>
      <c r="E25" s="19"/>
      <c r="F25" s="19"/>
      <c r="G25" s="10" t="s">
        <v>93</v>
      </c>
      <c r="H25" s="20"/>
      <c r="I25" s="20"/>
      <c r="J25" s="20"/>
      <c r="K25" s="20"/>
      <c r="L25" s="21"/>
      <c r="M25" s="21"/>
      <c r="N25" s="21"/>
      <c r="O25" s="21"/>
      <c r="P25" s="21"/>
      <c r="Q25" s="21"/>
      <c r="R25" s="21"/>
      <c r="S25" s="22"/>
      <c r="T25" s="5"/>
      <c r="U25" s="5"/>
      <c r="V25" s="5"/>
      <c r="W25" s="5"/>
      <c r="X25" s="5"/>
      <c r="Y25" s="5"/>
      <c r="Z25" s="5"/>
    </row>
    <row r="26" spans="1:26">
      <c r="A26" s="9">
        <v>15</v>
      </c>
      <c r="B26" s="10" t="s">
        <v>94</v>
      </c>
      <c r="C26" s="18" t="s">
        <v>68</v>
      </c>
      <c r="D26" s="10" t="s">
        <v>18</v>
      </c>
      <c r="E26" s="19"/>
      <c r="F26" s="19"/>
      <c r="G26" s="10" t="s">
        <v>95</v>
      </c>
      <c r="H26" s="20"/>
      <c r="I26" s="20"/>
      <c r="J26" s="20"/>
      <c r="K26" s="20"/>
      <c r="L26" s="21"/>
      <c r="M26" s="21"/>
      <c r="N26" s="21"/>
      <c r="O26" s="21"/>
      <c r="P26" s="21"/>
      <c r="Q26" s="21"/>
      <c r="R26" s="21"/>
      <c r="S26" s="22"/>
      <c r="T26" s="5"/>
      <c r="U26" s="5"/>
      <c r="V26" s="5"/>
      <c r="W26" s="5"/>
      <c r="X26" s="5"/>
      <c r="Y26" s="5"/>
      <c r="Z26" s="5"/>
    </row>
    <row r="27" spans="1:26">
      <c r="A27" s="9">
        <v>16</v>
      </c>
      <c r="B27" s="10" t="s">
        <v>96</v>
      </c>
      <c r="C27" s="18" t="s">
        <v>68</v>
      </c>
      <c r="D27" s="10" t="s">
        <v>18</v>
      </c>
      <c r="E27" s="19"/>
      <c r="F27" s="19"/>
      <c r="G27" s="10" t="s">
        <v>97</v>
      </c>
      <c r="H27" s="20"/>
      <c r="I27" s="20"/>
      <c r="J27" s="20"/>
      <c r="K27" s="20"/>
      <c r="L27" s="21"/>
      <c r="M27" s="21"/>
      <c r="N27" s="21"/>
      <c r="O27" s="21"/>
      <c r="P27" s="21"/>
      <c r="Q27" s="21"/>
      <c r="R27" s="21"/>
      <c r="S27" s="22"/>
      <c r="T27" s="5"/>
      <c r="U27" s="5"/>
      <c r="V27" s="5"/>
      <c r="W27" s="5"/>
      <c r="X27" s="5"/>
      <c r="Y27" s="5"/>
      <c r="Z27" s="5"/>
    </row>
    <row r="28" spans="1:26">
      <c r="A28" s="9">
        <v>17</v>
      </c>
      <c r="B28" s="10" t="s">
        <v>98</v>
      </c>
      <c r="C28" s="18" t="s">
        <v>68</v>
      </c>
      <c r="D28" s="10" t="s">
        <v>18</v>
      </c>
      <c r="E28" s="19"/>
      <c r="F28" s="19"/>
      <c r="G28" s="10" t="s">
        <v>99</v>
      </c>
      <c r="H28" s="20"/>
      <c r="I28" s="20"/>
      <c r="J28" s="20"/>
      <c r="K28" s="20"/>
      <c r="L28" s="21"/>
      <c r="M28" s="21"/>
      <c r="N28" s="21"/>
      <c r="O28" s="21"/>
      <c r="P28" s="21"/>
      <c r="Q28" s="21"/>
      <c r="R28" s="21"/>
      <c r="S28" s="22"/>
      <c r="T28" s="5"/>
      <c r="U28" s="5"/>
      <c r="V28" s="5"/>
      <c r="W28" s="5"/>
      <c r="X28" s="5"/>
      <c r="Y28" s="5"/>
      <c r="Z28" s="5"/>
    </row>
    <row r="29" spans="1:26">
      <c r="A29" s="9">
        <v>18</v>
      </c>
      <c r="B29" s="10" t="s">
        <v>100</v>
      </c>
      <c r="C29" s="18" t="s">
        <v>68</v>
      </c>
      <c r="D29" s="10" t="s">
        <v>18</v>
      </c>
      <c r="E29" s="19"/>
      <c r="F29" s="19"/>
      <c r="G29" s="10" t="s">
        <v>101</v>
      </c>
      <c r="H29" s="20"/>
      <c r="I29" s="20"/>
      <c r="J29" s="20"/>
      <c r="K29" s="20"/>
      <c r="L29" s="21"/>
      <c r="M29" s="21"/>
      <c r="N29" s="21"/>
      <c r="O29" s="21"/>
      <c r="P29" s="21"/>
      <c r="Q29" s="21"/>
      <c r="R29" s="21"/>
      <c r="S29" s="22"/>
      <c r="T29" s="5"/>
      <c r="U29" s="5"/>
      <c r="V29" s="5"/>
      <c r="W29" s="5"/>
      <c r="X29" s="5"/>
      <c r="Y29" s="5"/>
      <c r="Z29" s="5"/>
    </row>
    <row r="30" spans="1:26">
      <c r="A30" s="9">
        <v>19</v>
      </c>
      <c r="B30" s="10" t="s">
        <v>102</v>
      </c>
      <c r="C30" s="18" t="s">
        <v>68</v>
      </c>
      <c r="D30" s="10" t="s">
        <v>18</v>
      </c>
      <c r="E30" s="19"/>
      <c r="F30" s="19"/>
      <c r="G30" s="10" t="s">
        <v>103</v>
      </c>
      <c r="H30" s="20"/>
      <c r="I30" s="20"/>
      <c r="J30" s="20"/>
      <c r="K30" s="20"/>
      <c r="L30" s="21"/>
      <c r="M30" s="21"/>
      <c r="N30" s="21"/>
      <c r="O30" s="21"/>
      <c r="P30" s="21"/>
      <c r="Q30" s="21"/>
      <c r="R30" s="21"/>
      <c r="S30" s="22"/>
      <c r="T30" s="5"/>
      <c r="U30" s="5"/>
      <c r="V30" s="5"/>
      <c r="W30" s="5"/>
      <c r="X30" s="5"/>
      <c r="Y30" s="5"/>
      <c r="Z30" s="5"/>
    </row>
    <row r="31" spans="1:26">
      <c r="A31" s="9">
        <v>20</v>
      </c>
      <c r="B31" s="10" t="s">
        <v>104</v>
      </c>
      <c r="C31" s="18" t="s">
        <v>68</v>
      </c>
      <c r="D31" s="10" t="s">
        <v>18</v>
      </c>
      <c r="E31" s="19"/>
      <c r="F31" s="19"/>
      <c r="G31" s="10" t="s">
        <v>105</v>
      </c>
      <c r="H31" s="20"/>
      <c r="I31" s="20"/>
      <c r="J31" s="20"/>
      <c r="K31" s="20"/>
      <c r="L31" s="21"/>
      <c r="M31" s="21"/>
      <c r="N31" s="21"/>
      <c r="O31" s="21"/>
      <c r="P31" s="21"/>
      <c r="Q31" s="21"/>
      <c r="R31" s="21"/>
      <c r="S31" s="22"/>
      <c r="T31" s="5"/>
      <c r="U31" s="5"/>
      <c r="V31" s="5"/>
      <c r="W31" s="5"/>
      <c r="X31" s="5"/>
      <c r="Y31" s="5"/>
      <c r="Z31" s="5"/>
    </row>
    <row r="32" spans="1:26">
      <c r="A32" s="9">
        <v>21</v>
      </c>
      <c r="B32" s="10" t="s">
        <v>106</v>
      </c>
      <c r="C32" s="18" t="s">
        <v>68</v>
      </c>
      <c r="D32" s="10" t="s">
        <v>18</v>
      </c>
      <c r="E32" s="19"/>
      <c r="F32" s="19"/>
      <c r="G32" s="10" t="s">
        <v>107</v>
      </c>
      <c r="H32" s="20"/>
      <c r="I32" s="20"/>
      <c r="J32" s="20"/>
      <c r="K32" s="20"/>
      <c r="L32" s="21"/>
      <c r="M32" s="21"/>
      <c r="N32" s="21"/>
      <c r="O32" s="21"/>
      <c r="P32" s="21"/>
      <c r="Q32" s="21"/>
      <c r="R32" s="21"/>
      <c r="S32" s="22"/>
      <c r="T32" s="5"/>
      <c r="U32" s="5"/>
      <c r="V32" s="5"/>
      <c r="W32" s="5"/>
      <c r="X32" s="5"/>
      <c r="Y32" s="5"/>
      <c r="Z32" s="5"/>
    </row>
    <row r="33" spans="1:26">
      <c r="A33" s="9">
        <v>22</v>
      </c>
      <c r="B33" s="10" t="s">
        <v>108</v>
      </c>
      <c r="C33" s="18" t="s">
        <v>68</v>
      </c>
      <c r="D33" s="10" t="s">
        <v>18</v>
      </c>
      <c r="E33" s="19"/>
      <c r="F33" s="19"/>
      <c r="G33" s="10" t="s">
        <v>109</v>
      </c>
      <c r="H33" s="20"/>
      <c r="I33" s="20"/>
      <c r="J33" s="20"/>
      <c r="K33" s="20"/>
      <c r="L33" s="21"/>
      <c r="M33" s="21"/>
      <c r="N33" s="21"/>
      <c r="O33" s="21"/>
      <c r="P33" s="21"/>
      <c r="Q33" s="21"/>
      <c r="R33" s="21"/>
      <c r="S33" s="22"/>
      <c r="T33" s="5"/>
      <c r="U33" s="5"/>
      <c r="V33" s="5"/>
      <c r="W33" s="5"/>
      <c r="X33" s="5"/>
      <c r="Y33" s="5"/>
      <c r="Z33" s="5"/>
    </row>
    <row r="34" spans="1:26">
      <c r="A34" s="9">
        <v>23</v>
      </c>
      <c r="B34" s="10" t="s">
        <v>110</v>
      </c>
      <c r="C34" s="18" t="s">
        <v>68</v>
      </c>
      <c r="D34" s="10" t="s">
        <v>18</v>
      </c>
      <c r="E34" s="19"/>
      <c r="F34" s="19"/>
      <c r="G34" s="10" t="s">
        <v>111</v>
      </c>
      <c r="H34" s="20"/>
      <c r="I34" s="20"/>
      <c r="J34" s="20"/>
      <c r="K34" s="20"/>
      <c r="L34" s="21"/>
      <c r="M34" s="21"/>
      <c r="N34" s="21"/>
      <c r="O34" s="21"/>
      <c r="P34" s="21"/>
      <c r="Q34" s="21"/>
      <c r="R34" s="21"/>
      <c r="S34" s="22"/>
      <c r="T34" s="5"/>
      <c r="U34" s="5"/>
      <c r="V34" s="5"/>
      <c r="W34" s="5"/>
      <c r="X34" s="5"/>
      <c r="Y34" s="5"/>
      <c r="Z34" s="5"/>
    </row>
    <row r="35" spans="1:26">
      <c r="A35" s="9">
        <v>24</v>
      </c>
      <c r="B35" s="10" t="s">
        <v>112</v>
      </c>
      <c r="C35" s="18" t="s">
        <v>68</v>
      </c>
      <c r="D35" s="10" t="s">
        <v>18</v>
      </c>
      <c r="E35" s="19"/>
      <c r="F35" s="19"/>
      <c r="G35" s="10" t="s">
        <v>113</v>
      </c>
      <c r="H35" s="20"/>
      <c r="I35" s="20"/>
      <c r="J35" s="20"/>
      <c r="K35" s="20"/>
      <c r="L35" s="21"/>
      <c r="M35" s="21"/>
      <c r="N35" s="21"/>
      <c r="O35" s="21"/>
      <c r="P35" s="21"/>
      <c r="Q35" s="21"/>
      <c r="R35" s="21"/>
      <c r="S35" s="22"/>
      <c r="T35" s="5"/>
      <c r="U35" s="5"/>
      <c r="V35" s="5"/>
      <c r="W35" s="5"/>
      <c r="X35" s="5"/>
      <c r="Y35" s="5"/>
      <c r="Z35" s="5"/>
    </row>
    <row r="36" spans="1:26">
      <c r="A36" s="9">
        <v>25</v>
      </c>
      <c r="B36" s="10" t="s">
        <v>55</v>
      </c>
      <c r="C36" s="11" t="s">
        <v>49</v>
      </c>
      <c r="D36" s="10" t="s">
        <v>52</v>
      </c>
      <c r="E36" s="12">
        <v>200</v>
      </c>
      <c r="F36" s="12" t="s">
        <v>53</v>
      </c>
      <c r="G36" s="10" t="s">
        <v>54</v>
      </c>
      <c r="H36" s="20"/>
      <c r="I36" s="10" t="s">
        <v>56</v>
      </c>
      <c r="J36" s="10" t="s">
        <v>82</v>
      </c>
      <c r="K36" s="10" t="s">
        <v>114</v>
      </c>
      <c r="L36" s="21"/>
      <c r="M36" s="21"/>
      <c r="N36" s="21"/>
      <c r="O36" s="21"/>
      <c r="P36" s="21"/>
      <c r="Q36" s="21"/>
      <c r="R36" s="21"/>
      <c r="S36" s="22"/>
      <c r="T36" s="5"/>
      <c r="U36" s="5"/>
      <c r="V36" s="5"/>
      <c r="W36" s="5"/>
      <c r="X36" s="5"/>
      <c r="Y36" s="5"/>
      <c r="Z36" s="5"/>
    </row>
    <row r="37" spans="1:26">
      <c r="A37" s="9">
        <v>26</v>
      </c>
      <c r="B37" s="10" t="s">
        <v>115</v>
      </c>
      <c r="C37" s="18" t="s">
        <v>68</v>
      </c>
      <c r="D37" s="10" t="s">
        <v>18</v>
      </c>
      <c r="E37" s="19"/>
      <c r="F37" s="19"/>
      <c r="G37" s="10" t="s">
        <v>116</v>
      </c>
      <c r="H37" s="20"/>
      <c r="I37" s="20"/>
      <c r="J37" s="20"/>
      <c r="K37" s="20"/>
      <c r="L37" s="21"/>
      <c r="M37" s="21"/>
      <c r="N37" s="21"/>
      <c r="O37" s="21"/>
      <c r="P37" s="21"/>
      <c r="Q37" s="21"/>
      <c r="R37" s="21"/>
      <c r="S37" s="22"/>
      <c r="T37" s="5"/>
      <c r="U37" s="5"/>
      <c r="V37" s="5"/>
      <c r="W37" s="5"/>
      <c r="X37" s="5"/>
      <c r="Y37" s="5"/>
      <c r="Z37" s="5"/>
    </row>
    <row r="38" spans="1:26">
      <c r="A38" s="9">
        <v>27</v>
      </c>
      <c r="B38" s="10" t="s">
        <v>117</v>
      </c>
      <c r="C38" s="18" t="s">
        <v>68</v>
      </c>
      <c r="D38" s="10" t="s">
        <v>18</v>
      </c>
      <c r="E38" s="19"/>
      <c r="F38" s="19"/>
      <c r="G38" s="10" t="s">
        <v>118</v>
      </c>
      <c r="H38" s="20"/>
      <c r="I38" s="20"/>
      <c r="J38" s="20"/>
      <c r="K38" s="20"/>
      <c r="L38" s="21"/>
      <c r="M38" s="21"/>
      <c r="N38" s="21"/>
      <c r="O38" s="21"/>
      <c r="P38" s="21"/>
      <c r="Q38" s="21"/>
      <c r="R38" s="21"/>
      <c r="S38" s="22"/>
      <c r="T38" s="5"/>
      <c r="U38" s="5"/>
      <c r="V38" s="5"/>
      <c r="W38" s="5"/>
      <c r="X38" s="5"/>
      <c r="Y38" s="5"/>
      <c r="Z38" s="5"/>
    </row>
    <row r="39" spans="1:26">
      <c r="A39" s="9">
        <v>28</v>
      </c>
      <c r="B39" s="10" t="s">
        <v>119</v>
      </c>
      <c r="C39" s="11" t="s">
        <v>49</v>
      </c>
      <c r="D39" s="10" t="s">
        <v>52</v>
      </c>
      <c r="E39" s="12">
        <v>200</v>
      </c>
      <c r="F39" s="12" t="s">
        <v>53</v>
      </c>
      <c r="G39" s="10" t="s">
        <v>120</v>
      </c>
      <c r="H39" s="20"/>
      <c r="I39" s="10" t="s">
        <v>56</v>
      </c>
      <c r="J39" s="10" t="s">
        <v>82</v>
      </c>
      <c r="K39" s="10" t="s">
        <v>121</v>
      </c>
      <c r="L39" s="21"/>
      <c r="M39" s="21"/>
      <c r="N39" s="21"/>
      <c r="O39" s="21"/>
      <c r="P39" s="21"/>
      <c r="Q39" s="21"/>
      <c r="R39" s="21"/>
      <c r="S39" s="22"/>
      <c r="T39" s="5"/>
      <c r="U39" s="5"/>
      <c r="V39" s="5"/>
      <c r="W39" s="5"/>
      <c r="X39" s="5"/>
      <c r="Y39" s="5"/>
      <c r="Z39" s="5"/>
    </row>
    <row r="40" spans="1:26">
      <c r="A40" s="9">
        <v>29</v>
      </c>
      <c r="B40" s="10" t="s">
        <v>122</v>
      </c>
      <c r="C40" s="11" t="s">
        <v>49</v>
      </c>
      <c r="D40" s="10" t="s">
        <v>52</v>
      </c>
      <c r="E40" s="12">
        <v>200</v>
      </c>
      <c r="F40" s="12" t="s">
        <v>53</v>
      </c>
      <c r="G40" s="10" t="s">
        <v>123</v>
      </c>
      <c r="H40" s="20"/>
      <c r="I40" s="10" t="s">
        <v>56</v>
      </c>
      <c r="J40" s="10" t="s">
        <v>124</v>
      </c>
      <c r="K40" s="10" t="s">
        <v>125</v>
      </c>
      <c r="L40" s="21"/>
      <c r="M40" s="21"/>
      <c r="N40" s="21"/>
      <c r="O40" s="21"/>
      <c r="P40" s="21"/>
      <c r="Q40" s="21"/>
      <c r="R40" s="21"/>
      <c r="S40" s="22"/>
      <c r="T40" s="5"/>
      <c r="U40" s="5"/>
      <c r="V40" s="5"/>
      <c r="W40" s="5"/>
      <c r="X40" s="5"/>
      <c r="Y40" s="5"/>
      <c r="Z40" s="5"/>
    </row>
    <row r="41" spans="1:26">
      <c r="A41" s="9">
        <v>30</v>
      </c>
      <c r="B41" s="10" t="s">
        <v>126</v>
      </c>
      <c r="C41" s="18" t="s">
        <v>68</v>
      </c>
      <c r="D41" s="10" t="s">
        <v>23</v>
      </c>
      <c r="E41" s="19"/>
      <c r="F41" s="19"/>
      <c r="G41" s="20"/>
      <c r="H41" s="20"/>
      <c r="I41" s="20"/>
      <c r="J41" s="20"/>
      <c r="K41" s="20"/>
      <c r="L41" s="21"/>
      <c r="M41" s="21"/>
      <c r="N41" s="21"/>
      <c r="O41" s="21"/>
      <c r="P41" s="21"/>
      <c r="Q41" s="21"/>
      <c r="R41" s="21"/>
      <c r="S41" s="22"/>
      <c r="T41" s="5"/>
      <c r="U41" s="5"/>
      <c r="V41" s="5"/>
      <c r="W41" s="5"/>
      <c r="X41" s="5"/>
      <c r="Y41" s="5"/>
      <c r="Z41" s="5"/>
    </row>
    <row r="42" spans="1:26">
      <c r="A42" s="9">
        <v>31</v>
      </c>
      <c r="B42" s="10" t="s">
        <v>127</v>
      </c>
      <c r="C42" s="18" t="s">
        <v>68</v>
      </c>
      <c r="D42" s="10" t="s">
        <v>23</v>
      </c>
      <c r="E42" s="19"/>
      <c r="F42" s="19"/>
      <c r="G42" s="20"/>
      <c r="H42" s="20"/>
      <c r="I42" s="20"/>
      <c r="J42" s="20"/>
      <c r="K42" s="20"/>
      <c r="L42" s="21"/>
      <c r="M42" s="21"/>
      <c r="N42" s="21"/>
      <c r="O42" s="21"/>
      <c r="P42" s="21"/>
      <c r="Q42" s="21"/>
      <c r="R42" s="21"/>
      <c r="S42" s="22"/>
      <c r="T42" s="5"/>
      <c r="U42" s="5"/>
      <c r="V42" s="5"/>
      <c r="W42" s="5"/>
      <c r="X42" s="5"/>
      <c r="Y42" s="5"/>
      <c r="Z42" s="5"/>
    </row>
    <row r="43" spans="1:26">
      <c r="A43" s="9">
        <v>32</v>
      </c>
      <c r="B43" s="10" t="s">
        <v>128</v>
      </c>
      <c r="C43" s="18" t="s">
        <v>68</v>
      </c>
      <c r="D43" s="10" t="s">
        <v>18</v>
      </c>
      <c r="E43" s="19"/>
      <c r="F43" s="19"/>
      <c r="G43" s="10" t="s">
        <v>129</v>
      </c>
      <c r="H43" s="20"/>
      <c r="I43" s="20"/>
      <c r="J43" s="20"/>
      <c r="K43" s="20"/>
      <c r="L43" s="21"/>
      <c r="M43" s="21"/>
      <c r="N43" s="21"/>
      <c r="O43" s="21"/>
      <c r="P43" s="21"/>
      <c r="Q43" s="21"/>
      <c r="R43" s="21"/>
      <c r="S43" s="22"/>
      <c r="T43" s="5"/>
      <c r="U43" s="5"/>
      <c r="V43" s="5"/>
      <c r="W43" s="5"/>
      <c r="X43" s="5"/>
      <c r="Y43" s="5"/>
      <c r="Z43" s="5"/>
    </row>
    <row r="44" spans="1:26">
      <c r="A44" s="9">
        <v>33</v>
      </c>
      <c r="B44" s="10" t="s">
        <v>130</v>
      </c>
      <c r="C44" s="11" t="s">
        <v>49</v>
      </c>
      <c r="D44" s="10" t="s">
        <v>52</v>
      </c>
      <c r="E44" s="12">
        <v>200</v>
      </c>
      <c r="F44" s="12" t="s">
        <v>53</v>
      </c>
      <c r="G44" s="10" t="s">
        <v>54</v>
      </c>
      <c r="H44" s="10" t="s">
        <v>55</v>
      </c>
      <c r="I44" s="10" t="s">
        <v>56</v>
      </c>
      <c r="J44" s="10" t="s">
        <v>131</v>
      </c>
      <c r="K44" s="10" t="s">
        <v>132</v>
      </c>
      <c r="L44" s="21"/>
      <c r="M44" s="21"/>
      <c r="N44" s="21"/>
      <c r="O44" s="21"/>
      <c r="P44" s="21"/>
      <c r="Q44" s="21"/>
      <c r="R44" s="21"/>
      <c r="S44" s="22"/>
      <c r="T44" s="5"/>
      <c r="U44" s="5"/>
      <c r="V44" s="5"/>
      <c r="W44" s="5"/>
      <c r="X44" s="5"/>
      <c r="Y44" s="5"/>
      <c r="Z44" s="5"/>
    </row>
    <row r="45" spans="1:26">
      <c r="A45" s="9">
        <v>34</v>
      </c>
      <c r="B45" s="10" t="s">
        <v>133</v>
      </c>
      <c r="C45" s="11" t="s">
        <v>49</v>
      </c>
      <c r="D45" s="10" t="s">
        <v>52</v>
      </c>
      <c r="E45" s="12">
        <v>200</v>
      </c>
      <c r="F45" s="12" t="s">
        <v>53</v>
      </c>
      <c r="G45" s="10" t="s">
        <v>123</v>
      </c>
      <c r="H45" s="20"/>
      <c r="I45" s="10" t="s">
        <v>56</v>
      </c>
      <c r="J45" s="10" t="s">
        <v>134</v>
      </c>
      <c r="K45" s="10" t="s">
        <v>135</v>
      </c>
      <c r="L45" s="21"/>
      <c r="M45" s="21"/>
      <c r="N45" s="21"/>
      <c r="O45" s="21"/>
      <c r="P45" s="21"/>
      <c r="Q45" s="21"/>
      <c r="R45" s="21"/>
      <c r="S45" s="22"/>
      <c r="T45" s="5"/>
      <c r="U45" s="5"/>
      <c r="V45" s="5"/>
      <c r="W45" s="5"/>
      <c r="X45" s="5"/>
      <c r="Y45" s="5"/>
      <c r="Z45" s="5"/>
    </row>
    <row r="46" spans="1:26">
      <c r="A46" s="9">
        <v>35</v>
      </c>
      <c r="B46" s="10" t="s">
        <v>136</v>
      </c>
      <c r="C46" s="11" t="s">
        <v>49</v>
      </c>
      <c r="D46" s="10" t="s">
        <v>52</v>
      </c>
      <c r="E46" s="12">
        <v>200</v>
      </c>
      <c r="F46" s="12" t="s">
        <v>53</v>
      </c>
      <c r="G46" s="10" t="s">
        <v>120</v>
      </c>
      <c r="H46" s="10" t="s">
        <v>119</v>
      </c>
      <c r="I46" s="10" t="s">
        <v>56</v>
      </c>
      <c r="J46" s="10" t="s">
        <v>82</v>
      </c>
      <c r="K46" s="10" t="s">
        <v>137</v>
      </c>
      <c r="L46" s="21"/>
      <c r="M46" s="21"/>
      <c r="N46" s="21"/>
      <c r="O46" s="21"/>
      <c r="P46" s="21"/>
      <c r="Q46" s="21"/>
      <c r="R46" s="21"/>
      <c r="S46" s="22"/>
      <c r="T46" s="5"/>
      <c r="U46" s="5"/>
      <c r="V46" s="5"/>
      <c r="W46" s="5"/>
      <c r="X46" s="5"/>
      <c r="Y46" s="5"/>
      <c r="Z46" s="5"/>
    </row>
    <row r="47" spans="1:26">
      <c r="A47" s="9">
        <v>36</v>
      </c>
      <c r="B47" s="10" t="s">
        <v>138</v>
      </c>
      <c r="C47" s="18" t="s">
        <v>68</v>
      </c>
      <c r="D47" s="10" t="s">
        <v>18</v>
      </c>
      <c r="E47" s="19"/>
      <c r="F47" s="19"/>
      <c r="G47" s="10" t="s">
        <v>139</v>
      </c>
      <c r="H47" s="20"/>
      <c r="I47" s="20"/>
      <c r="J47" s="20"/>
      <c r="K47" s="20"/>
      <c r="L47" s="21"/>
      <c r="M47" s="21"/>
      <c r="N47" s="21"/>
      <c r="O47" s="21"/>
      <c r="P47" s="21"/>
      <c r="Q47" s="21"/>
      <c r="R47" s="21"/>
      <c r="S47" s="22"/>
      <c r="T47" s="5"/>
      <c r="U47" s="5"/>
      <c r="V47" s="5"/>
      <c r="W47" s="5"/>
      <c r="X47" s="5"/>
      <c r="Y47" s="5"/>
      <c r="Z47" s="5"/>
    </row>
    <row r="48" spans="1:26">
      <c r="A48" s="9">
        <v>37</v>
      </c>
      <c r="B48" s="10" t="s">
        <v>140</v>
      </c>
      <c r="C48" s="11" t="s">
        <v>49</v>
      </c>
      <c r="D48" s="10" t="s">
        <v>52</v>
      </c>
      <c r="E48" s="12">
        <v>200</v>
      </c>
      <c r="F48" s="12" t="s">
        <v>53</v>
      </c>
      <c r="G48" s="10" t="s">
        <v>54</v>
      </c>
      <c r="H48" s="20"/>
      <c r="I48" s="10" t="s">
        <v>56</v>
      </c>
      <c r="J48" s="10" t="s">
        <v>82</v>
      </c>
      <c r="K48" s="10" t="s">
        <v>141</v>
      </c>
      <c r="L48" s="21"/>
      <c r="M48" s="21"/>
      <c r="N48" s="21"/>
      <c r="O48" s="21"/>
      <c r="P48" s="21"/>
      <c r="Q48" s="21"/>
      <c r="R48" s="21"/>
      <c r="S48" s="22"/>
      <c r="T48" s="5"/>
      <c r="U48" s="5"/>
      <c r="V48" s="5"/>
      <c r="W48" s="5"/>
      <c r="X48" s="5"/>
      <c r="Y48" s="5"/>
      <c r="Z48" s="5"/>
    </row>
    <row r="49" spans="1:26">
      <c r="A49" s="9">
        <v>38</v>
      </c>
      <c r="B49" s="10" t="s">
        <v>142</v>
      </c>
      <c r="C49" s="18" t="s">
        <v>68</v>
      </c>
      <c r="D49" s="10" t="s">
        <v>18</v>
      </c>
      <c r="E49" s="19"/>
      <c r="F49" s="19"/>
      <c r="G49" s="10" t="s">
        <v>143</v>
      </c>
      <c r="H49" s="20"/>
      <c r="I49" s="20"/>
      <c r="J49" s="20"/>
      <c r="K49" s="20"/>
      <c r="L49" s="21"/>
      <c r="M49" s="21"/>
      <c r="N49" s="21"/>
      <c r="O49" s="21"/>
      <c r="P49" s="21"/>
      <c r="Q49" s="21"/>
      <c r="R49" s="21"/>
      <c r="S49" s="22"/>
      <c r="T49" s="5"/>
      <c r="U49" s="5"/>
      <c r="V49" s="5"/>
      <c r="W49" s="5"/>
      <c r="X49" s="5"/>
      <c r="Y49" s="5"/>
      <c r="Z49" s="5"/>
    </row>
    <row r="50" spans="1:26">
      <c r="A50" s="9">
        <v>39</v>
      </c>
      <c r="B50" s="10" t="s">
        <v>144</v>
      </c>
      <c r="C50" s="18" t="s">
        <v>68</v>
      </c>
      <c r="D50" s="10" t="s">
        <v>18</v>
      </c>
      <c r="E50" s="19"/>
      <c r="F50" s="19"/>
      <c r="G50" s="10" t="s">
        <v>145</v>
      </c>
      <c r="H50" s="20"/>
      <c r="I50" s="20"/>
      <c r="J50" s="20"/>
      <c r="K50" s="20"/>
      <c r="L50" s="21"/>
      <c r="M50" s="21"/>
      <c r="N50" s="21"/>
      <c r="O50" s="21"/>
      <c r="P50" s="21"/>
      <c r="Q50" s="21"/>
      <c r="R50" s="21"/>
      <c r="S50" s="22"/>
      <c r="T50" s="5"/>
      <c r="U50" s="5"/>
      <c r="V50" s="5"/>
      <c r="W50" s="5"/>
      <c r="X50" s="5"/>
      <c r="Y50" s="5"/>
      <c r="Z50" s="5"/>
    </row>
    <row r="51" spans="1:26">
      <c r="A51" s="9">
        <v>40</v>
      </c>
      <c r="B51" s="10" t="s">
        <v>146</v>
      </c>
      <c r="C51" s="18" t="s">
        <v>68</v>
      </c>
      <c r="D51" s="10" t="s">
        <v>18</v>
      </c>
      <c r="E51" s="19"/>
      <c r="F51" s="19"/>
      <c r="G51" s="10" t="s">
        <v>147</v>
      </c>
      <c r="H51" s="20"/>
      <c r="I51" s="20"/>
      <c r="J51" s="20"/>
      <c r="K51" s="20"/>
      <c r="L51" s="21"/>
      <c r="M51" s="21"/>
      <c r="N51" s="21"/>
      <c r="O51" s="21"/>
      <c r="P51" s="21"/>
      <c r="Q51" s="21"/>
      <c r="R51" s="21"/>
      <c r="S51" s="22"/>
      <c r="T51" s="5"/>
      <c r="U51" s="5"/>
      <c r="V51" s="5"/>
      <c r="W51" s="5"/>
      <c r="X51" s="5"/>
      <c r="Y51" s="5"/>
      <c r="Z51" s="5"/>
    </row>
    <row r="52" spans="1:26">
      <c r="A52" s="9">
        <v>41</v>
      </c>
      <c r="B52" s="10" t="s">
        <v>148</v>
      </c>
      <c r="C52" s="18" t="s">
        <v>68</v>
      </c>
      <c r="D52" s="10" t="s">
        <v>18</v>
      </c>
      <c r="E52" s="19"/>
      <c r="F52" s="19"/>
      <c r="G52" s="10" t="s">
        <v>149</v>
      </c>
      <c r="H52" s="20"/>
      <c r="I52" s="20"/>
      <c r="J52" s="20"/>
      <c r="K52" s="20"/>
      <c r="L52" s="21"/>
      <c r="M52" s="21"/>
      <c r="N52" s="21"/>
      <c r="O52" s="21"/>
      <c r="P52" s="21"/>
      <c r="Q52" s="21"/>
      <c r="R52" s="21"/>
      <c r="S52" s="22"/>
      <c r="T52" s="5"/>
      <c r="U52" s="5"/>
      <c r="V52" s="5"/>
      <c r="W52" s="5"/>
      <c r="X52" s="5"/>
      <c r="Y52" s="5"/>
      <c r="Z52" s="5"/>
    </row>
    <row r="53" spans="1:26">
      <c r="A53" s="9">
        <v>42</v>
      </c>
      <c r="B53" s="10" t="s">
        <v>150</v>
      </c>
      <c r="C53" s="18" t="s">
        <v>68</v>
      </c>
      <c r="D53" s="10" t="s">
        <v>18</v>
      </c>
      <c r="E53" s="19"/>
      <c r="F53" s="19"/>
      <c r="G53" s="10" t="s">
        <v>151</v>
      </c>
      <c r="H53" s="20"/>
      <c r="I53" s="20"/>
      <c r="J53" s="20"/>
      <c r="K53" s="20"/>
      <c r="L53" s="21"/>
      <c r="M53" s="21"/>
      <c r="N53" s="21"/>
      <c r="O53" s="21"/>
      <c r="P53" s="21"/>
      <c r="Q53" s="21"/>
      <c r="R53" s="21"/>
      <c r="S53" s="22"/>
      <c r="T53" s="5"/>
      <c r="U53" s="5"/>
      <c r="V53" s="5"/>
      <c r="W53" s="5"/>
      <c r="X53" s="5"/>
      <c r="Y53" s="5"/>
      <c r="Z53" s="5"/>
    </row>
    <row r="54" spans="1:26">
      <c r="A54" s="9">
        <v>43</v>
      </c>
      <c r="B54" s="10" t="s">
        <v>152</v>
      </c>
      <c r="C54" s="18" t="s">
        <v>68</v>
      </c>
      <c r="D54" s="10" t="s">
        <v>18</v>
      </c>
      <c r="E54" s="19"/>
      <c r="F54" s="19"/>
      <c r="G54" s="10" t="s">
        <v>153</v>
      </c>
      <c r="H54" s="20"/>
      <c r="I54" s="20"/>
      <c r="J54" s="20"/>
      <c r="K54" s="20"/>
      <c r="L54" s="21"/>
      <c r="M54" s="21"/>
      <c r="N54" s="21"/>
      <c r="O54" s="21"/>
      <c r="P54" s="21"/>
      <c r="Q54" s="21"/>
      <c r="R54" s="21"/>
      <c r="S54" s="22"/>
      <c r="T54" s="5"/>
      <c r="U54" s="5"/>
      <c r="V54" s="5"/>
      <c r="W54" s="5"/>
      <c r="X54" s="5"/>
      <c r="Y54" s="5"/>
      <c r="Z54" s="5"/>
    </row>
    <row r="55" spans="1:26">
      <c r="A55" s="9">
        <v>44</v>
      </c>
      <c r="B55" s="10" t="s">
        <v>154</v>
      </c>
      <c r="C55" s="18" t="s">
        <v>68</v>
      </c>
      <c r="D55" s="10" t="s">
        <v>18</v>
      </c>
      <c r="E55" s="19"/>
      <c r="F55" s="19"/>
      <c r="G55" s="10" t="s">
        <v>155</v>
      </c>
      <c r="H55" s="20"/>
      <c r="I55" s="20"/>
      <c r="J55" s="20"/>
      <c r="K55" s="20"/>
      <c r="L55" s="21"/>
      <c r="M55" s="21"/>
      <c r="N55" s="21"/>
      <c r="O55" s="21"/>
      <c r="P55" s="21"/>
      <c r="Q55" s="21"/>
      <c r="R55" s="21"/>
      <c r="S55" s="22"/>
      <c r="T55" s="5"/>
      <c r="U55" s="5"/>
      <c r="V55" s="5"/>
      <c r="W55" s="5"/>
      <c r="X55" s="5"/>
      <c r="Y55" s="5"/>
      <c r="Z55" s="5"/>
    </row>
    <row r="56" spans="1:26">
      <c r="A56" s="9">
        <v>45</v>
      </c>
      <c r="B56" s="10" t="s">
        <v>156</v>
      </c>
      <c r="C56" s="18" t="s">
        <v>68</v>
      </c>
      <c r="D56" s="10" t="s">
        <v>18</v>
      </c>
      <c r="E56" s="19"/>
      <c r="F56" s="19"/>
      <c r="G56" s="10" t="s">
        <v>157</v>
      </c>
      <c r="H56" s="20"/>
      <c r="I56" s="20"/>
      <c r="J56" s="20"/>
      <c r="K56" s="20"/>
      <c r="L56" s="21"/>
      <c r="M56" s="21"/>
      <c r="N56" s="21"/>
      <c r="O56" s="21"/>
      <c r="P56" s="21"/>
      <c r="Q56" s="21"/>
      <c r="R56" s="21"/>
      <c r="S56" s="22"/>
      <c r="T56" s="5"/>
      <c r="U56" s="5"/>
      <c r="V56" s="5"/>
      <c r="W56" s="5"/>
      <c r="X56" s="5"/>
      <c r="Y56" s="5"/>
      <c r="Z56" s="5"/>
    </row>
    <row r="57" spans="1:26">
      <c r="A57" s="9">
        <v>46</v>
      </c>
      <c r="B57" s="10" t="s">
        <v>158</v>
      </c>
      <c r="C57" s="18" t="s">
        <v>68</v>
      </c>
      <c r="D57" s="10" t="s">
        <v>18</v>
      </c>
      <c r="E57" s="19"/>
      <c r="F57" s="19"/>
      <c r="G57" s="10" t="s">
        <v>159</v>
      </c>
      <c r="H57" s="20"/>
      <c r="I57" s="20"/>
      <c r="J57" s="20"/>
      <c r="K57" s="20"/>
      <c r="L57" s="21"/>
      <c r="M57" s="21"/>
      <c r="N57" s="21"/>
      <c r="O57" s="21"/>
      <c r="P57" s="21"/>
      <c r="Q57" s="21"/>
      <c r="R57" s="21"/>
      <c r="S57" s="22"/>
      <c r="T57" s="5"/>
      <c r="U57" s="5"/>
      <c r="V57" s="5"/>
      <c r="W57" s="5"/>
      <c r="X57" s="5"/>
      <c r="Y57" s="5"/>
      <c r="Z57" s="5"/>
    </row>
    <row r="58" spans="1:26">
      <c r="A58" s="9">
        <v>47</v>
      </c>
      <c r="B58" s="10" t="s">
        <v>160</v>
      </c>
      <c r="C58" s="18" t="s">
        <v>68</v>
      </c>
      <c r="D58" s="10" t="s">
        <v>18</v>
      </c>
      <c r="E58" s="19"/>
      <c r="F58" s="19"/>
      <c r="G58" s="10" t="s">
        <v>161</v>
      </c>
      <c r="H58" s="20"/>
      <c r="I58" s="20"/>
      <c r="J58" s="20"/>
      <c r="K58" s="20"/>
      <c r="L58" s="21"/>
      <c r="M58" s="21"/>
      <c r="N58" s="21"/>
      <c r="O58" s="21"/>
      <c r="P58" s="21"/>
      <c r="Q58" s="21"/>
      <c r="R58" s="21"/>
      <c r="S58" s="22"/>
      <c r="T58" s="5"/>
      <c r="U58" s="5"/>
      <c r="V58" s="5"/>
      <c r="W58" s="5"/>
      <c r="X58" s="5"/>
      <c r="Y58" s="5"/>
      <c r="Z58" s="5"/>
    </row>
    <row r="59" spans="1:26">
      <c r="A59" s="9">
        <v>48</v>
      </c>
      <c r="B59" s="10" t="s">
        <v>162</v>
      </c>
      <c r="C59" s="11" t="s">
        <v>49</v>
      </c>
      <c r="D59" s="10" t="s">
        <v>52</v>
      </c>
      <c r="E59" s="12">
        <v>200</v>
      </c>
      <c r="F59" s="12" t="s">
        <v>53</v>
      </c>
      <c r="G59" s="10" t="s">
        <v>163</v>
      </c>
      <c r="H59" s="20"/>
      <c r="I59" s="10" t="s">
        <v>164</v>
      </c>
      <c r="J59" s="10" t="s">
        <v>82</v>
      </c>
      <c r="K59" s="10" t="s">
        <v>165</v>
      </c>
      <c r="L59" s="21"/>
      <c r="M59" s="21"/>
      <c r="N59" s="21"/>
      <c r="O59" s="21"/>
      <c r="P59" s="21"/>
      <c r="Q59" s="21"/>
      <c r="R59" s="21"/>
      <c r="S59" s="22"/>
      <c r="T59" s="5"/>
      <c r="U59" s="5"/>
      <c r="V59" s="5"/>
      <c r="W59" s="5"/>
      <c r="X59" s="5"/>
      <c r="Y59" s="5"/>
      <c r="Z59" s="5"/>
    </row>
    <row r="60" spans="1:26">
      <c r="A60" s="9">
        <v>49</v>
      </c>
      <c r="B60" s="10" t="s">
        <v>166</v>
      </c>
      <c r="C60" s="18" t="s">
        <v>68</v>
      </c>
      <c r="D60" s="10" t="s">
        <v>18</v>
      </c>
      <c r="E60" s="19"/>
      <c r="F60" s="19"/>
      <c r="G60" s="10" t="s">
        <v>167</v>
      </c>
      <c r="H60" s="20"/>
      <c r="I60" s="20"/>
      <c r="J60" s="20"/>
      <c r="K60" s="20"/>
      <c r="L60" s="21"/>
      <c r="M60" s="21"/>
      <c r="N60" s="21"/>
      <c r="O60" s="21"/>
      <c r="P60" s="21"/>
      <c r="Q60" s="21"/>
      <c r="R60" s="21"/>
      <c r="S60" s="22"/>
      <c r="T60" s="5"/>
      <c r="U60" s="5"/>
      <c r="V60" s="5"/>
      <c r="W60" s="5"/>
      <c r="X60" s="5"/>
      <c r="Y60" s="5"/>
      <c r="Z60" s="5"/>
    </row>
    <row r="61" spans="1:26">
      <c r="A61" s="9">
        <v>50</v>
      </c>
      <c r="B61" s="10" t="s">
        <v>168</v>
      </c>
      <c r="C61" s="18" t="s">
        <v>68</v>
      </c>
      <c r="D61" s="10" t="s">
        <v>18</v>
      </c>
      <c r="E61" s="19"/>
      <c r="F61" s="19"/>
      <c r="G61" s="10" t="s">
        <v>169</v>
      </c>
      <c r="H61" s="20"/>
      <c r="I61" s="20"/>
      <c r="J61" s="20"/>
      <c r="K61" s="20"/>
      <c r="L61" s="21"/>
      <c r="M61" s="21"/>
      <c r="N61" s="21"/>
      <c r="O61" s="21"/>
      <c r="P61" s="21"/>
      <c r="Q61" s="21"/>
      <c r="R61" s="21"/>
      <c r="S61" s="22"/>
      <c r="T61" s="5"/>
      <c r="U61" s="5"/>
      <c r="V61" s="5"/>
      <c r="W61" s="5"/>
      <c r="X61" s="5"/>
      <c r="Y61" s="5"/>
      <c r="Z61" s="5"/>
    </row>
    <row r="62" spans="1:26">
      <c r="A62" s="9">
        <v>51</v>
      </c>
      <c r="B62" s="10" t="s">
        <v>170</v>
      </c>
      <c r="C62" s="18" t="s">
        <v>68</v>
      </c>
      <c r="D62" s="10" t="s">
        <v>18</v>
      </c>
      <c r="E62" s="19"/>
      <c r="F62" s="19"/>
      <c r="G62" s="10" t="s">
        <v>171</v>
      </c>
      <c r="H62" s="20"/>
      <c r="I62" s="20"/>
      <c r="J62" s="20"/>
      <c r="K62" s="20"/>
      <c r="L62" s="21"/>
      <c r="M62" s="21"/>
      <c r="N62" s="21"/>
      <c r="O62" s="21"/>
      <c r="P62" s="21"/>
      <c r="Q62" s="21"/>
      <c r="R62" s="21"/>
      <c r="S62" s="22"/>
      <c r="T62" s="5"/>
      <c r="U62" s="5"/>
      <c r="V62" s="5"/>
      <c r="W62" s="5"/>
      <c r="X62" s="5"/>
      <c r="Y62" s="5"/>
      <c r="Z62" s="5"/>
    </row>
    <row r="63" spans="1:26">
      <c r="A63" s="9">
        <v>52</v>
      </c>
      <c r="B63" s="10" t="s">
        <v>172</v>
      </c>
      <c r="C63" s="18" t="s">
        <v>68</v>
      </c>
      <c r="D63" s="10" t="s">
        <v>18</v>
      </c>
      <c r="E63" s="19"/>
      <c r="F63" s="19"/>
      <c r="G63" s="10" t="s">
        <v>173</v>
      </c>
      <c r="H63" s="20"/>
      <c r="I63" s="20"/>
      <c r="J63" s="20"/>
      <c r="K63" s="20"/>
      <c r="L63" s="21"/>
      <c r="M63" s="21"/>
      <c r="N63" s="21"/>
      <c r="O63" s="21"/>
      <c r="P63" s="21"/>
      <c r="Q63" s="21"/>
      <c r="R63" s="21"/>
      <c r="S63" s="22"/>
      <c r="T63" s="5"/>
      <c r="U63" s="5"/>
      <c r="V63" s="5"/>
      <c r="W63" s="5"/>
      <c r="X63" s="5"/>
      <c r="Y63" s="5"/>
      <c r="Z63" s="5"/>
    </row>
    <row r="64" spans="1:26">
      <c r="A64" s="9">
        <v>53</v>
      </c>
      <c r="B64" s="10" t="s">
        <v>174</v>
      </c>
      <c r="C64" s="18" t="s">
        <v>68</v>
      </c>
      <c r="D64" s="10" t="s">
        <v>18</v>
      </c>
      <c r="E64" s="19"/>
      <c r="F64" s="19"/>
      <c r="G64" s="10" t="s">
        <v>175</v>
      </c>
      <c r="H64" s="20"/>
      <c r="I64" s="20"/>
      <c r="J64" s="20"/>
      <c r="K64" s="20"/>
      <c r="L64" s="21"/>
      <c r="M64" s="21"/>
      <c r="N64" s="21"/>
      <c r="O64" s="21"/>
      <c r="P64" s="21"/>
      <c r="Q64" s="21"/>
      <c r="R64" s="21"/>
      <c r="S64" s="22"/>
      <c r="T64" s="5"/>
      <c r="U64" s="5"/>
      <c r="V64" s="5"/>
      <c r="W64" s="5"/>
      <c r="X64" s="5"/>
      <c r="Y64" s="5"/>
      <c r="Z64" s="5"/>
    </row>
    <row r="65" spans="1:26">
      <c r="A65" s="9">
        <v>54</v>
      </c>
      <c r="B65" s="10" t="s">
        <v>176</v>
      </c>
      <c r="C65" s="18" t="s">
        <v>68</v>
      </c>
      <c r="D65" s="10" t="s">
        <v>18</v>
      </c>
      <c r="E65" s="19"/>
      <c r="F65" s="19"/>
      <c r="G65" s="10" t="s">
        <v>177</v>
      </c>
      <c r="H65" s="20"/>
      <c r="I65" s="20"/>
      <c r="J65" s="20"/>
      <c r="K65" s="20"/>
      <c r="L65" s="21"/>
      <c r="M65" s="21"/>
      <c r="N65" s="21"/>
      <c r="O65" s="21"/>
      <c r="P65" s="21"/>
      <c r="Q65" s="21"/>
      <c r="R65" s="21"/>
      <c r="S65" s="22"/>
      <c r="T65" s="5"/>
      <c r="U65" s="5"/>
      <c r="V65" s="5"/>
      <c r="W65" s="5"/>
      <c r="X65" s="5"/>
      <c r="Y65" s="5"/>
      <c r="Z65" s="5"/>
    </row>
    <row r="66" spans="1:26">
      <c r="A66" s="9">
        <v>55</v>
      </c>
      <c r="B66" s="10" t="s">
        <v>178</v>
      </c>
      <c r="C66" s="18" t="s">
        <v>68</v>
      </c>
      <c r="D66" s="10" t="s">
        <v>18</v>
      </c>
      <c r="E66" s="19"/>
      <c r="F66" s="19"/>
      <c r="G66" s="10" t="s">
        <v>179</v>
      </c>
      <c r="H66" s="20"/>
      <c r="I66" s="20"/>
      <c r="J66" s="20"/>
      <c r="K66" s="20"/>
      <c r="L66" s="21"/>
      <c r="M66" s="21"/>
      <c r="N66" s="21"/>
      <c r="O66" s="21"/>
      <c r="P66" s="21"/>
      <c r="Q66" s="21"/>
      <c r="R66" s="21"/>
      <c r="S66" s="22"/>
      <c r="T66" s="5"/>
      <c r="U66" s="5"/>
      <c r="V66" s="5"/>
      <c r="W66" s="5"/>
      <c r="X66" s="5"/>
      <c r="Y66" s="5"/>
      <c r="Z66" s="5"/>
    </row>
    <row r="67" spans="1:26">
      <c r="A67" s="9">
        <v>56</v>
      </c>
      <c r="B67" s="10" t="s">
        <v>180</v>
      </c>
      <c r="C67" s="18" t="s">
        <v>68</v>
      </c>
      <c r="D67" s="10" t="s">
        <v>18</v>
      </c>
      <c r="E67" s="19"/>
      <c r="F67" s="19"/>
      <c r="G67" s="10" t="s">
        <v>181</v>
      </c>
      <c r="H67" s="20"/>
      <c r="I67" s="20"/>
      <c r="J67" s="20"/>
      <c r="K67" s="20"/>
      <c r="L67" s="21"/>
      <c r="M67" s="21"/>
      <c r="N67" s="21"/>
      <c r="O67" s="21"/>
      <c r="P67" s="21"/>
      <c r="Q67" s="21"/>
      <c r="R67" s="21"/>
      <c r="S67" s="22"/>
      <c r="T67" s="5"/>
      <c r="U67" s="5"/>
      <c r="V67" s="5"/>
      <c r="W67" s="5"/>
      <c r="X67" s="5"/>
      <c r="Y67" s="5"/>
      <c r="Z67" s="5"/>
    </row>
    <row r="68" spans="1:26">
      <c r="A68" s="9">
        <v>57</v>
      </c>
      <c r="B68" s="10" t="s">
        <v>182</v>
      </c>
      <c r="C68" s="18" t="s">
        <v>68</v>
      </c>
      <c r="D68" s="10" t="s">
        <v>18</v>
      </c>
      <c r="E68" s="19"/>
      <c r="F68" s="19"/>
      <c r="G68" s="10" t="s">
        <v>183</v>
      </c>
      <c r="H68" s="20"/>
      <c r="I68" s="20"/>
      <c r="J68" s="20"/>
      <c r="K68" s="20"/>
      <c r="L68" s="21"/>
      <c r="M68" s="21"/>
      <c r="N68" s="21"/>
      <c r="O68" s="21"/>
      <c r="P68" s="21"/>
      <c r="Q68" s="21"/>
      <c r="R68" s="21"/>
      <c r="S68" s="22"/>
      <c r="T68" s="5"/>
      <c r="U68" s="5"/>
      <c r="V68" s="5"/>
      <c r="W68" s="5"/>
      <c r="X68" s="5"/>
      <c r="Y68" s="5"/>
      <c r="Z68" s="5"/>
    </row>
    <row r="69" spans="1:26">
      <c r="A69" s="9">
        <v>58</v>
      </c>
      <c r="B69" s="10" t="s">
        <v>184</v>
      </c>
      <c r="C69" s="18" t="s">
        <v>68</v>
      </c>
      <c r="D69" s="10" t="s">
        <v>18</v>
      </c>
      <c r="E69" s="19"/>
      <c r="F69" s="19"/>
      <c r="G69" s="10" t="s">
        <v>185</v>
      </c>
      <c r="H69" s="20"/>
      <c r="I69" s="20"/>
      <c r="J69" s="20"/>
      <c r="K69" s="20"/>
      <c r="L69" s="21"/>
      <c r="M69" s="21"/>
      <c r="N69" s="21"/>
      <c r="O69" s="21"/>
      <c r="P69" s="21"/>
      <c r="Q69" s="21"/>
      <c r="R69" s="21"/>
      <c r="S69" s="22"/>
      <c r="T69" s="5"/>
      <c r="U69" s="5"/>
      <c r="V69" s="5"/>
      <c r="W69" s="5"/>
      <c r="X69" s="5"/>
      <c r="Y69" s="5"/>
      <c r="Z69" s="5"/>
    </row>
    <row r="70" spans="1:26">
      <c r="A70" s="9">
        <v>59</v>
      </c>
      <c r="B70" s="10" t="s">
        <v>186</v>
      </c>
      <c r="C70" s="18" t="s">
        <v>68</v>
      </c>
      <c r="D70" s="10" t="s">
        <v>18</v>
      </c>
      <c r="E70" s="19"/>
      <c r="F70" s="19"/>
      <c r="G70" s="10" t="s">
        <v>187</v>
      </c>
      <c r="H70" s="20"/>
      <c r="I70" s="20"/>
      <c r="J70" s="20"/>
      <c r="K70" s="20"/>
      <c r="L70" s="21"/>
      <c r="M70" s="21"/>
      <c r="N70" s="21"/>
      <c r="O70" s="21"/>
      <c r="P70" s="21"/>
      <c r="Q70" s="21"/>
      <c r="R70" s="21"/>
      <c r="S70" s="22"/>
      <c r="T70" s="5"/>
      <c r="U70" s="5"/>
      <c r="V70" s="5"/>
      <c r="W70" s="5"/>
      <c r="X70" s="5"/>
      <c r="Y70" s="5"/>
      <c r="Z70" s="5"/>
    </row>
    <row r="71" spans="1:26">
      <c r="A71" s="9">
        <v>60</v>
      </c>
      <c r="B71" s="10" t="s">
        <v>188</v>
      </c>
      <c r="C71" s="18" t="s">
        <v>68</v>
      </c>
      <c r="D71" s="10" t="s">
        <v>18</v>
      </c>
      <c r="E71" s="19"/>
      <c r="F71" s="19"/>
      <c r="G71" s="10" t="s">
        <v>189</v>
      </c>
      <c r="H71" s="20"/>
      <c r="I71" s="20"/>
      <c r="J71" s="20"/>
      <c r="K71" s="20"/>
      <c r="L71" s="21"/>
      <c r="M71" s="21"/>
      <c r="N71" s="21"/>
      <c r="O71" s="21"/>
      <c r="P71" s="21"/>
      <c r="Q71" s="21"/>
      <c r="R71" s="21"/>
      <c r="S71" s="22"/>
      <c r="T71" s="5"/>
      <c r="U71" s="5"/>
      <c r="V71" s="5"/>
      <c r="W71" s="5"/>
      <c r="X71" s="5"/>
      <c r="Y71" s="5"/>
      <c r="Z71" s="5"/>
    </row>
    <row r="72" spans="1:26">
      <c r="A72" s="9">
        <v>61</v>
      </c>
      <c r="B72" s="10" t="s">
        <v>190</v>
      </c>
      <c r="C72" s="18" t="s">
        <v>68</v>
      </c>
      <c r="D72" s="10" t="s">
        <v>18</v>
      </c>
      <c r="E72" s="19"/>
      <c r="F72" s="19"/>
      <c r="G72" s="10" t="s">
        <v>77</v>
      </c>
      <c r="H72" s="20"/>
      <c r="I72" s="20"/>
      <c r="J72" s="20"/>
      <c r="K72" s="20"/>
      <c r="L72" s="21"/>
      <c r="M72" s="21"/>
      <c r="N72" s="21"/>
      <c r="O72" s="21"/>
      <c r="P72" s="21"/>
      <c r="Q72" s="21"/>
      <c r="R72" s="21"/>
      <c r="S72" s="22"/>
      <c r="T72" s="5"/>
      <c r="U72" s="5"/>
      <c r="V72" s="5"/>
      <c r="W72" s="5"/>
      <c r="X72" s="5"/>
      <c r="Y72" s="5"/>
      <c r="Z72" s="5"/>
    </row>
    <row r="73" spans="1:26">
      <c r="A73" s="9">
        <v>62</v>
      </c>
      <c r="B73" s="10" t="s">
        <v>191</v>
      </c>
      <c r="C73" s="18" t="s">
        <v>68</v>
      </c>
      <c r="D73" s="10" t="s">
        <v>18</v>
      </c>
      <c r="E73" s="19"/>
      <c r="F73" s="19"/>
      <c r="G73" s="10" t="s">
        <v>192</v>
      </c>
      <c r="H73" s="20"/>
      <c r="I73" s="20"/>
      <c r="J73" s="20"/>
      <c r="K73" s="20"/>
      <c r="L73" s="21"/>
      <c r="M73" s="21"/>
      <c r="N73" s="21"/>
      <c r="O73" s="21"/>
      <c r="P73" s="21"/>
      <c r="Q73" s="21"/>
      <c r="R73" s="21"/>
      <c r="S73" s="22"/>
      <c r="T73" s="5"/>
      <c r="U73" s="5"/>
      <c r="V73" s="5"/>
      <c r="W73" s="5"/>
      <c r="X73" s="5"/>
      <c r="Y73" s="5"/>
      <c r="Z73" s="5"/>
    </row>
    <row r="74" spans="1:26">
      <c r="A74" s="9">
        <v>63</v>
      </c>
      <c r="B74" s="10" t="s">
        <v>193</v>
      </c>
      <c r="C74" s="11" t="s">
        <v>49</v>
      </c>
      <c r="D74" s="10" t="s">
        <v>52</v>
      </c>
      <c r="E74" s="12">
        <v>200</v>
      </c>
      <c r="F74" s="12" t="s">
        <v>194</v>
      </c>
      <c r="G74" s="10" t="s">
        <v>195</v>
      </c>
      <c r="H74" s="20"/>
      <c r="I74" s="10" t="s">
        <v>196</v>
      </c>
      <c r="J74" s="20"/>
      <c r="K74" s="10" t="s">
        <v>197</v>
      </c>
      <c r="L74" s="21"/>
      <c r="M74" s="21"/>
      <c r="N74" s="21"/>
      <c r="O74" s="21"/>
      <c r="P74" s="21"/>
      <c r="Q74" s="21"/>
      <c r="R74" s="21"/>
      <c r="S74" s="22"/>
      <c r="T74" s="5"/>
      <c r="U74" s="5"/>
      <c r="V74" s="5"/>
      <c r="W74" s="5"/>
      <c r="X74" s="5"/>
      <c r="Y74" s="5"/>
      <c r="Z74" s="5"/>
    </row>
    <row r="75" spans="1:26">
      <c r="A75" s="9">
        <v>64</v>
      </c>
      <c r="B75" s="10" t="s">
        <v>198</v>
      </c>
      <c r="C75" s="18" t="s">
        <v>68</v>
      </c>
      <c r="D75" s="10" t="s">
        <v>18</v>
      </c>
      <c r="E75" s="19"/>
      <c r="F75" s="19"/>
      <c r="G75" s="10" t="s">
        <v>199</v>
      </c>
      <c r="H75" s="20"/>
      <c r="I75" s="20"/>
      <c r="J75" s="20"/>
      <c r="K75" s="20"/>
      <c r="L75" s="21"/>
      <c r="M75" s="21"/>
      <c r="N75" s="21"/>
      <c r="O75" s="21"/>
      <c r="P75" s="21"/>
      <c r="Q75" s="21"/>
      <c r="R75" s="21"/>
      <c r="S75" s="22"/>
      <c r="T75" s="5"/>
      <c r="U75" s="5"/>
      <c r="V75" s="5"/>
      <c r="W75" s="5"/>
      <c r="X75" s="5"/>
      <c r="Y75" s="5"/>
      <c r="Z75" s="5"/>
    </row>
    <row r="76" spans="1:26">
      <c r="A76" s="9">
        <v>65</v>
      </c>
      <c r="B76" s="10" t="s">
        <v>200</v>
      </c>
      <c r="C76" s="18" t="s">
        <v>68</v>
      </c>
      <c r="D76" s="10" t="s">
        <v>18</v>
      </c>
      <c r="E76" s="19"/>
      <c r="F76" s="19"/>
      <c r="G76" s="10" t="s">
        <v>201</v>
      </c>
      <c r="H76" s="20"/>
      <c r="I76" s="20"/>
      <c r="J76" s="20"/>
      <c r="K76" s="20"/>
      <c r="L76" s="21"/>
      <c r="M76" s="21"/>
      <c r="N76" s="21"/>
      <c r="O76" s="21"/>
      <c r="P76" s="21"/>
      <c r="Q76" s="21"/>
      <c r="R76" s="21"/>
      <c r="S76" s="22"/>
      <c r="T76" s="5"/>
      <c r="U76" s="5"/>
      <c r="V76" s="5"/>
      <c r="W76" s="5"/>
      <c r="X76" s="5"/>
      <c r="Y76" s="5"/>
      <c r="Z76" s="5"/>
    </row>
    <row r="77" spans="1:26">
      <c r="A77" s="9">
        <v>66</v>
      </c>
      <c r="B77" s="10" t="s">
        <v>202</v>
      </c>
      <c r="C77" s="18" t="s">
        <v>68</v>
      </c>
      <c r="D77" s="10" t="s">
        <v>18</v>
      </c>
      <c r="E77" s="19"/>
      <c r="F77" s="19"/>
      <c r="G77" s="10" t="s">
        <v>203</v>
      </c>
      <c r="H77" s="20"/>
      <c r="I77" s="20"/>
      <c r="J77" s="20"/>
      <c r="K77" s="20"/>
      <c r="L77" s="21"/>
      <c r="M77" s="21"/>
      <c r="N77" s="21"/>
      <c r="O77" s="21"/>
      <c r="P77" s="21"/>
      <c r="Q77" s="21"/>
      <c r="R77" s="21"/>
      <c r="S77" s="22"/>
      <c r="T77" s="5"/>
      <c r="U77" s="5"/>
      <c r="V77" s="5"/>
      <c r="W77" s="5"/>
      <c r="X77" s="5"/>
      <c r="Y77" s="5"/>
      <c r="Z77" s="5"/>
    </row>
    <row r="78" spans="1:26">
      <c r="A78" s="9">
        <v>67</v>
      </c>
      <c r="B78" s="10" t="s">
        <v>204</v>
      </c>
      <c r="C78" s="18" t="s">
        <v>68</v>
      </c>
      <c r="D78" s="10" t="s">
        <v>18</v>
      </c>
      <c r="E78" s="19"/>
      <c r="F78" s="19"/>
      <c r="G78" s="10" t="s">
        <v>205</v>
      </c>
      <c r="H78" s="20"/>
      <c r="I78" s="20"/>
      <c r="J78" s="20"/>
      <c r="K78" s="20"/>
      <c r="L78" s="21"/>
      <c r="M78" s="21"/>
      <c r="N78" s="21"/>
      <c r="O78" s="21"/>
      <c r="P78" s="21"/>
      <c r="Q78" s="21"/>
      <c r="R78" s="21"/>
      <c r="S78" s="22"/>
      <c r="T78" s="5"/>
      <c r="U78" s="5"/>
      <c r="V78" s="5"/>
      <c r="W78" s="5"/>
      <c r="X78" s="5"/>
      <c r="Y78" s="5"/>
      <c r="Z78" s="5"/>
    </row>
    <row r="79" spans="1:26">
      <c r="A79" s="9">
        <v>68</v>
      </c>
      <c r="B79" s="10" t="s">
        <v>206</v>
      </c>
      <c r="C79" s="18" t="s">
        <v>68</v>
      </c>
      <c r="D79" s="10" t="s">
        <v>18</v>
      </c>
      <c r="E79" s="19"/>
      <c r="F79" s="19"/>
      <c r="G79" s="10" t="s">
        <v>207</v>
      </c>
      <c r="H79" s="20"/>
      <c r="I79" s="20"/>
      <c r="J79" s="20"/>
      <c r="K79" s="20"/>
      <c r="L79" s="21"/>
      <c r="M79" s="21"/>
      <c r="N79" s="21"/>
      <c r="O79" s="21"/>
      <c r="P79" s="21"/>
      <c r="Q79" s="21"/>
      <c r="R79" s="21"/>
      <c r="S79" s="22"/>
      <c r="T79" s="5"/>
      <c r="U79" s="5"/>
      <c r="V79" s="5"/>
      <c r="W79" s="5"/>
      <c r="X79" s="5"/>
      <c r="Y79" s="5"/>
      <c r="Z79" s="5"/>
    </row>
    <row r="80" spans="1:26">
      <c r="A80" s="9">
        <v>69</v>
      </c>
      <c r="B80" s="10" t="s">
        <v>208</v>
      </c>
      <c r="C80" s="18" t="s">
        <v>68</v>
      </c>
      <c r="D80" s="10" t="s">
        <v>18</v>
      </c>
      <c r="E80" s="19"/>
      <c r="F80" s="19"/>
      <c r="G80" s="10" t="s">
        <v>209</v>
      </c>
      <c r="H80" s="20"/>
      <c r="I80" s="20"/>
      <c r="J80" s="20"/>
      <c r="K80" s="20"/>
      <c r="L80" s="21"/>
      <c r="M80" s="21"/>
      <c r="N80" s="21"/>
      <c r="O80" s="21"/>
      <c r="P80" s="21"/>
      <c r="Q80" s="21"/>
      <c r="R80" s="21"/>
      <c r="S80" s="22"/>
      <c r="T80" s="5"/>
      <c r="U80" s="5"/>
      <c r="V80" s="5"/>
      <c r="W80" s="5"/>
      <c r="X80" s="5"/>
      <c r="Y80" s="5"/>
      <c r="Z80" s="5"/>
    </row>
    <row r="81" spans="1:26">
      <c r="A81" s="9">
        <v>70</v>
      </c>
      <c r="B81" s="10" t="s">
        <v>210</v>
      </c>
      <c r="C81" s="18" t="s">
        <v>68</v>
      </c>
      <c r="D81" s="10" t="s">
        <v>18</v>
      </c>
      <c r="E81" s="19"/>
      <c r="F81" s="19"/>
      <c r="G81" s="10" t="s">
        <v>211</v>
      </c>
      <c r="H81" s="20"/>
      <c r="I81" s="20"/>
      <c r="J81" s="20"/>
      <c r="K81" s="20"/>
      <c r="L81" s="21"/>
      <c r="M81" s="21"/>
      <c r="N81" s="21"/>
      <c r="O81" s="21"/>
      <c r="P81" s="21"/>
      <c r="Q81" s="21"/>
      <c r="R81" s="21"/>
      <c r="S81" s="22"/>
      <c r="T81" s="5"/>
      <c r="U81" s="5"/>
      <c r="V81" s="5"/>
      <c r="W81" s="5"/>
      <c r="X81" s="5"/>
      <c r="Y81" s="5"/>
      <c r="Z81" s="5"/>
    </row>
    <row r="82" spans="1:26">
      <c r="A82" s="9">
        <v>71</v>
      </c>
      <c r="B82" s="10" t="s">
        <v>212</v>
      </c>
      <c r="C82" s="18" t="s">
        <v>68</v>
      </c>
      <c r="D82" s="10" t="s">
        <v>18</v>
      </c>
      <c r="E82" s="19"/>
      <c r="F82" s="19"/>
      <c r="G82" s="10" t="s">
        <v>213</v>
      </c>
      <c r="H82" s="20"/>
      <c r="I82" s="20"/>
      <c r="J82" s="20"/>
      <c r="K82" s="20"/>
      <c r="L82" s="21"/>
      <c r="M82" s="21"/>
      <c r="N82" s="21"/>
      <c r="O82" s="21"/>
      <c r="P82" s="21"/>
      <c r="Q82" s="21"/>
      <c r="R82" s="21"/>
      <c r="S82" s="22"/>
      <c r="T82" s="5"/>
      <c r="U82" s="5"/>
      <c r="V82" s="5"/>
      <c r="W82" s="5"/>
      <c r="X82" s="5"/>
      <c r="Y82" s="5"/>
      <c r="Z82" s="5"/>
    </row>
    <row r="83" spans="1:26">
      <c r="A83" s="9">
        <v>72</v>
      </c>
      <c r="B83" s="10" t="s">
        <v>214</v>
      </c>
      <c r="C83" s="18" t="s">
        <v>68</v>
      </c>
      <c r="D83" s="10" t="s">
        <v>18</v>
      </c>
      <c r="E83" s="19"/>
      <c r="F83" s="19"/>
      <c r="G83" s="10" t="s">
        <v>215</v>
      </c>
      <c r="H83" s="20"/>
      <c r="I83" s="20"/>
      <c r="J83" s="20"/>
      <c r="K83" s="20"/>
      <c r="L83" s="21"/>
      <c r="M83" s="21"/>
      <c r="N83" s="21"/>
      <c r="O83" s="21"/>
      <c r="P83" s="21"/>
      <c r="Q83" s="21"/>
      <c r="R83" s="21"/>
      <c r="S83" s="22"/>
      <c r="T83" s="5"/>
      <c r="U83" s="5"/>
      <c r="V83" s="5"/>
      <c r="W83" s="5"/>
      <c r="X83" s="5"/>
      <c r="Y83" s="5"/>
      <c r="Z83" s="5"/>
    </row>
    <row r="84" spans="1:26">
      <c r="A84" s="9">
        <v>73</v>
      </c>
      <c r="B84" s="10" t="s">
        <v>216</v>
      </c>
      <c r="C84" s="18" t="s">
        <v>68</v>
      </c>
      <c r="D84" s="10" t="s">
        <v>18</v>
      </c>
      <c r="E84" s="19"/>
      <c r="F84" s="19"/>
      <c r="G84" s="10" t="s">
        <v>217</v>
      </c>
      <c r="H84" s="20"/>
      <c r="I84" s="20"/>
      <c r="J84" s="20"/>
      <c r="K84" s="20"/>
      <c r="L84" s="21"/>
      <c r="M84" s="21"/>
      <c r="N84" s="21"/>
      <c r="O84" s="21"/>
      <c r="P84" s="21"/>
      <c r="Q84" s="21"/>
      <c r="R84" s="21"/>
      <c r="S84" s="22"/>
      <c r="T84" s="5"/>
      <c r="U84" s="5"/>
      <c r="V84" s="5"/>
      <c r="W84" s="5"/>
      <c r="X84" s="5"/>
      <c r="Y84" s="5"/>
      <c r="Z84" s="5"/>
    </row>
    <row r="85" spans="1:26">
      <c r="A85" s="9">
        <v>74</v>
      </c>
      <c r="B85" s="10" t="s">
        <v>218</v>
      </c>
      <c r="C85" s="18" t="s">
        <v>68</v>
      </c>
      <c r="D85" s="10" t="s">
        <v>18</v>
      </c>
      <c r="E85" s="19"/>
      <c r="F85" s="19"/>
      <c r="G85" s="10" t="s">
        <v>219</v>
      </c>
      <c r="H85" s="20"/>
      <c r="I85" s="20"/>
      <c r="J85" s="20"/>
      <c r="K85" s="20"/>
      <c r="L85" s="21"/>
      <c r="M85" s="21"/>
      <c r="N85" s="21"/>
      <c r="O85" s="21"/>
      <c r="P85" s="21"/>
      <c r="Q85" s="21"/>
      <c r="R85" s="21"/>
      <c r="S85" s="22"/>
      <c r="T85" s="5"/>
      <c r="U85" s="5"/>
      <c r="V85" s="5"/>
      <c r="W85" s="5"/>
      <c r="X85" s="5"/>
      <c r="Y85" s="5"/>
      <c r="Z85" s="5"/>
    </row>
    <row r="86" spans="1:26">
      <c r="A86" s="9">
        <v>75</v>
      </c>
      <c r="B86" s="10" t="s">
        <v>220</v>
      </c>
      <c r="C86" s="18" t="s">
        <v>68</v>
      </c>
      <c r="D86" s="10" t="s">
        <v>18</v>
      </c>
      <c r="E86" s="19"/>
      <c r="F86" s="19"/>
      <c r="G86" s="10" t="s">
        <v>221</v>
      </c>
      <c r="H86" s="20"/>
      <c r="I86" s="20"/>
      <c r="J86" s="20"/>
      <c r="K86" s="20"/>
      <c r="L86" s="21"/>
      <c r="M86" s="21"/>
      <c r="N86" s="21"/>
      <c r="O86" s="21"/>
      <c r="P86" s="21"/>
      <c r="Q86" s="21"/>
      <c r="R86" s="21"/>
      <c r="S86" s="22"/>
      <c r="T86" s="5"/>
      <c r="U86" s="5"/>
      <c r="V86" s="5"/>
      <c r="W86" s="5"/>
      <c r="X86" s="5"/>
      <c r="Y86" s="5"/>
      <c r="Z86" s="5"/>
    </row>
    <row r="87" spans="1:26">
      <c r="A87" s="9">
        <v>76</v>
      </c>
      <c r="B87" s="10" t="s">
        <v>222</v>
      </c>
      <c r="C87" s="11" t="s">
        <v>49</v>
      </c>
      <c r="D87" s="10" t="s">
        <v>52</v>
      </c>
      <c r="E87" s="12">
        <v>200</v>
      </c>
      <c r="F87" s="12" t="s">
        <v>53</v>
      </c>
      <c r="G87" s="10" t="s">
        <v>223</v>
      </c>
      <c r="H87" s="20"/>
      <c r="I87" s="10" t="s">
        <v>56</v>
      </c>
      <c r="J87" s="10" t="s">
        <v>224</v>
      </c>
      <c r="K87" s="10" t="s">
        <v>225</v>
      </c>
      <c r="L87" s="21"/>
      <c r="M87" s="21"/>
      <c r="N87" s="21"/>
      <c r="O87" s="21"/>
      <c r="P87" s="21"/>
      <c r="Q87" s="21"/>
      <c r="R87" s="21"/>
      <c r="S87" s="22"/>
      <c r="T87" s="5"/>
      <c r="U87" s="5"/>
      <c r="V87" s="5"/>
      <c r="W87" s="5"/>
      <c r="X87" s="5"/>
      <c r="Y87" s="5"/>
      <c r="Z87" s="5"/>
    </row>
    <row r="88" spans="1:26">
      <c r="A88" s="9">
        <v>77</v>
      </c>
      <c r="B88" s="10" t="s">
        <v>226</v>
      </c>
      <c r="C88" s="18" t="s">
        <v>68</v>
      </c>
      <c r="D88" s="10" t="s">
        <v>23</v>
      </c>
      <c r="E88" s="19"/>
      <c r="F88" s="19"/>
      <c r="G88" s="20"/>
      <c r="H88" s="20"/>
      <c r="I88" s="20"/>
      <c r="J88" s="20"/>
      <c r="K88" s="20"/>
      <c r="L88" s="21"/>
      <c r="M88" s="21"/>
      <c r="N88" s="21"/>
      <c r="O88" s="21"/>
      <c r="P88" s="21"/>
      <c r="Q88" s="21"/>
      <c r="R88" s="21"/>
      <c r="S88" s="22"/>
      <c r="T88" s="5"/>
      <c r="U88" s="5"/>
      <c r="V88" s="5"/>
      <c r="W88" s="5"/>
      <c r="X88" s="5"/>
      <c r="Y88" s="5"/>
      <c r="Z88" s="5"/>
    </row>
    <row r="89" spans="1:26">
      <c r="A89" s="9">
        <v>78</v>
      </c>
      <c r="B89" s="10" t="s">
        <v>227</v>
      </c>
      <c r="C89" s="18" t="s">
        <v>68</v>
      </c>
      <c r="D89" s="10" t="s">
        <v>18</v>
      </c>
      <c r="E89" s="19"/>
      <c r="F89" s="19"/>
      <c r="G89" s="10" t="s">
        <v>228</v>
      </c>
      <c r="H89" s="20"/>
      <c r="I89" s="20"/>
      <c r="J89" s="20"/>
      <c r="K89" s="20"/>
      <c r="L89" s="21"/>
      <c r="M89" s="21"/>
      <c r="N89" s="21"/>
      <c r="O89" s="21"/>
      <c r="P89" s="21"/>
      <c r="Q89" s="21"/>
      <c r="R89" s="21"/>
      <c r="S89" s="22"/>
      <c r="T89" s="5"/>
      <c r="U89" s="5"/>
      <c r="V89" s="5"/>
      <c r="W89" s="5"/>
      <c r="X89" s="5"/>
      <c r="Y89" s="5"/>
      <c r="Z89" s="5"/>
    </row>
    <row r="90" spans="1:26">
      <c r="A90" s="9">
        <v>79</v>
      </c>
      <c r="B90" s="10" t="s">
        <v>229</v>
      </c>
      <c r="C90" s="11" t="s">
        <v>49</v>
      </c>
      <c r="D90" s="10" t="s">
        <v>52</v>
      </c>
      <c r="E90" s="12">
        <v>200</v>
      </c>
      <c r="F90" s="12" t="s">
        <v>53</v>
      </c>
      <c r="G90" s="10" t="s">
        <v>120</v>
      </c>
      <c r="H90" s="20"/>
      <c r="I90" s="10" t="s">
        <v>56</v>
      </c>
      <c r="J90" s="10" t="s">
        <v>82</v>
      </c>
      <c r="K90" s="10" t="s">
        <v>230</v>
      </c>
      <c r="L90" s="21"/>
      <c r="M90" s="21"/>
      <c r="N90" s="21"/>
      <c r="O90" s="21"/>
      <c r="P90" s="21"/>
      <c r="Q90" s="21"/>
      <c r="R90" s="21"/>
      <c r="S90" s="22"/>
      <c r="T90" s="5"/>
      <c r="U90" s="5"/>
      <c r="V90" s="5"/>
      <c r="W90" s="5"/>
      <c r="X90" s="5"/>
      <c r="Y90" s="5"/>
      <c r="Z90" s="5"/>
    </row>
    <row r="91" spans="1:26">
      <c r="A91" s="9">
        <v>80</v>
      </c>
      <c r="B91" s="10" t="s">
        <v>231</v>
      </c>
      <c r="C91" s="11" t="s">
        <v>49</v>
      </c>
      <c r="D91" s="10" t="s">
        <v>52</v>
      </c>
      <c r="E91" s="12">
        <v>200</v>
      </c>
      <c r="F91" s="12" t="s">
        <v>53</v>
      </c>
      <c r="G91" s="10" t="s">
        <v>120</v>
      </c>
      <c r="H91" s="20"/>
      <c r="I91" s="10" t="s">
        <v>56</v>
      </c>
      <c r="J91" s="10" t="s">
        <v>82</v>
      </c>
      <c r="K91" s="10" t="s">
        <v>232</v>
      </c>
      <c r="L91" s="21"/>
      <c r="M91" s="21"/>
      <c r="N91" s="21"/>
      <c r="O91" s="21"/>
      <c r="P91" s="21"/>
      <c r="Q91" s="21"/>
      <c r="R91" s="21"/>
      <c r="S91" s="22"/>
      <c r="T91" s="5"/>
      <c r="U91" s="5"/>
      <c r="V91" s="5"/>
      <c r="W91" s="5"/>
      <c r="X91" s="5"/>
      <c r="Y91" s="5"/>
      <c r="Z91" s="5"/>
    </row>
    <row r="92" spans="1:26">
      <c r="A92" s="9">
        <v>81</v>
      </c>
      <c r="B92" s="10" t="s">
        <v>233</v>
      </c>
      <c r="C92" s="11" t="s">
        <v>49</v>
      </c>
      <c r="D92" s="10" t="s">
        <v>52</v>
      </c>
      <c r="E92" s="12">
        <v>200</v>
      </c>
      <c r="F92" s="12" t="s">
        <v>53</v>
      </c>
      <c r="G92" s="10" t="s">
        <v>54</v>
      </c>
      <c r="H92" s="20"/>
      <c r="I92" s="10" t="s">
        <v>56</v>
      </c>
      <c r="J92" s="10" t="s">
        <v>82</v>
      </c>
      <c r="K92" s="10" t="s">
        <v>234</v>
      </c>
      <c r="L92" s="21"/>
      <c r="M92" s="21"/>
      <c r="N92" s="21"/>
      <c r="O92" s="21"/>
      <c r="P92" s="21"/>
      <c r="Q92" s="21"/>
      <c r="R92" s="21"/>
      <c r="S92" s="22"/>
      <c r="T92" s="5"/>
      <c r="U92" s="5"/>
      <c r="V92" s="5"/>
      <c r="W92" s="5"/>
      <c r="X92" s="5"/>
      <c r="Y92" s="5"/>
      <c r="Z92" s="5"/>
    </row>
    <row r="93" spans="1:26">
      <c r="A93" s="9">
        <v>82</v>
      </c>
      <c r="B93" s="10" t="s">
        <v>235</v>
      </c>
      <c r="C93" s="18" t="s">
        <v>68</v>
      </c>
      <c r="D93" s="10" t="s">
        <v>18</v>
      </c>
      <c r="E93" s="19"/>
      <c r="F93" s="19"/>
      <c r="G93" s="10" t="s">
        <v>236</v>
      </c>
      <c r="H93" s="20"/>
      <c r="I93" s="20"/>
      <c r="J93" s="20"/>
      <c r="K93" s="20"/>
      <c r="L93" s="21"/>
      <c r="M93" s="21"/>
      <c r="N93" s="21"/>
      <c r="O93" s="21"/>
      <c r="P93" s="21"/>
      <c r="Q93" s="21"/>
      <c r="R93" s="21"/>
      <c r="S93" s="22"/>
      <c r="T93" s="5"/>
      <c r="U93" s="5"/>
      <c r="V93" s="5"/>
      <c r="W93" s="5"/>
      <c r="X93" s="5"/>
      <c r="Y93" s="5"/>
      <c r="Z93" s="5"/>
    </row>
    <row r="94" spans="1:26">
      <c r="A94" s="9">
        <v>83</v>
      </c>
      <c r="B94" s="10" t="s">
        <v>237</v>
      </c>
      <c r="C94" s="18" t="s">
        <v>68</v>
      </c>
      <c r="D94" s="10" t="s">
        <v>18</v>
      </c>
      <c r="E94" s="19"/>
      <c r="F94" s="19"/>
      <c r="G94" s="10" t="s">
        <v>238</v>
      </c>
      <c r="H94" s="20"/>
      <c r="I94" s="20"/>
      <c r="J94" s="20"/>
      <c r="K94" s="20"/>
      <c r="L94" s="21"/>
      <c r="M94" s="21"/>
      <c r="N94" s="21"/>
      <c r="O94" s="21"/>
      <c r="P94" s="21"/>
      <c r="Q94" s="21"/>
      <c r="R94" s="21"/>
      <c r="S94" s="22"/>
      <c r="T94" s="5"/>
      <c r="U94" s="5"/>
      <c r="V94" s="5"/>
      <c r="W94" s="5"/>
      <c r="X94" s="5"/>
      <c r="Y94" s="5"/>
      <c r="Z94" s="5"/>
    </row>
    <row r="95" spans="1:26">
      <c r="A95" s="9">
        <v>84</v>
      </c>
      <c r="B95" s="10" t="s">
        <v>239</v>
      </c>
      <c r="C95" s="18" t="s">
        <v>68</v>
      </c>
      <c r="D95" s="10" t="s">
        <v>18</v>
      </c>
      <c r="E95" s="19"/>
      <c r="F95" s="19"/>
      <c r="G95" s="10" t="s">
        <v>238</v>
      </c>
      <c r="H95" s="10" t="s">
        <v>237</v>
      </c>
      <c r="I95" s="20"/>
      <c r="J95" s="20"/>
      <c r="K95" s="20"/>
      <c r="L95" s="21"/>
      <c r="M95" s="21"/>
      <c r="N95" s="21"/>
      <c r="O95" s="21"/>
      <c r="P95" s="21"/>
      <c r="Q95" s="21"/>
      <c r="R95" s="21"/>
      <c r="S95" s="22"/>
      <c r="T95" s="5"/>
      <c r="U95" s="5"/>
      <c r="V95" s="5"/>
      <c r="W95" s="5"/>
      <c r="X95" s="5"/>
      <c r="Y95" s="5"/>
      <c r="Z95" s="5"/>
    </row>
    <row r="96" spans="1:26">
      <c r="A96" s="9">
        <v>85</v>
      </c>
      <c r="B96" s="10" t="s">
        <v>240</v>
      </c>
      <c r="C96" s="18" t="s">
        <v>68</v>
      </c>
      <c r="D96" s="10" t="s">
        <v>18</v>
      </c>
      <c r="E96" s="19"/>
      <c r="F96" s="19"/>
      <c r="G96" s="10" t="s">
        <v>241</v>
      </c>
      <c r="H96" s="20"/>
      <c r="I96" s="20"/>
      <c r="J96" s="20"/>
      <c r="K96" s="20"/>
      <c r="L96" s="21"/>
      <c r="M96" s="21"/>
      <c r="N96" s="21"/>
      <c r="O96" s="21"/>
      <c r="P96" s="21"/>
      <c r="Q96" s="21"/>
      <c r="R96" s="21"/>
      <c r="S96" s="22"/>
      <c r="T96" s="5"/>
      <c r="U96" s="5"/>
      <c r="V96" s="5"/>
      <c r="W96" s="5"/>
      <c r="X96" s="5"/>
      <c r="Y96" s="5"/>
      <c r="Z96" s="5"/>
    </row>
    <row r="97" spans="1:26">
      <c r="A97" s="9">
        <v>86</v>
      </c>
      <c r="B97" s="10" t="s">
        <v>242</v>
      </c>
      <c r="C97" s="18" t="s">
        <v>68</v>
      </c>
      <c r="D97" s="10" t="s">
        <v>18</v>
      </c>
      <c r="E97" s="19"/>
      <c r="F97" s="19"/>
      <c r="G97" s="10" t="s">
        <v>243</v>
      </c>
      <c r="H97" s="20"/>
      <c r="I97" s="20"/>
      <c r="J97" s="20"/>
      <c r="K97" s="20"/>
      <c r="L97" s="21"/>
      <c r="M97" s="21"/>
      <c r="N97" s="21"/>
      <c r="O97" s="21"/>
      <c r="P97" s="21"/>
      <c r="Q97" s="21"/>
      <c r="R97" s="21"/>
      <c r="S97" s="22"/>
      <c r="T97" s="5"/>
      <c r="U97" s="5"/>
      <c r="V97" s="5"/>
      <c r="W97" s="5"/>
      <c r="X97" s="5"/>
      <c r="Y97" s="5"/>
      <c r="Z97" s="5"/>
    </row>
    <row r="98" spans="1:26">
      <c r="A98" s="9">
        <v>87</v>
      </c>
      <c r="B98" s="10" t="s">
        <v>244</v>
      </c>
      <c r="C98" s="18" t="s">
        <v>68</v>
      </c>
      <c r="D98" s="10" t="s">
        <v>18</v>
      </c>
      <c r="E98" s="19"/>
      <c r="F98" s="19"/>
      <c r="G98" s="10" t="s">
        <v>245</v>
      </c>
      <c r="H98" s="20"/>
      <c r="I98" s="20"/>
      <c r="J98" s="20"/>
      <c r="K98" s="20"/>
      <c r="L98" s="21"/>
      <c r="M98" s="21"/>
      <c r="N98" s="21"/>
      <c r="O98" s="21"/>
      <c r="P98" s="21"/>
      <c r="Q98" s="21"/>
      <c r="R98" s="21"/>
      <c r="S98" s="22"/>
      <c r="T98" s="5"/>
      <c r="U98" s="5"/>
      <c r="V98" s="5"/>
      <c r="W98" s="5"/>
      <c r="X98" s="5"/>
      <c r="Y98" s="5"/>
      <c r="Z98" s="5"/>
    </row>
    <row r="99" spans="1:26">
      <c r="A99" s="9">
        <v>88</v>
      </c>
      <c r="B99" s="10" t="s">
        <v>246</v>
      </c>
      <c r="C99" s="18" t="s">
        <v>68</v>
      </c>
      <c r="D99" s="10" t="s">
        <v>18</v>
      </c>
      <c r="E99" s="19"/>
      <c r="F99" s="19"/>
      <c r="G99" s="10" t="s">
        <v>247</v>
      </c>
      <c r="H99" s="20"/>
      <c r="I99" s="20"/>
      <c r="J99" s="20"/>
      <c r="K99" s="20"/>
      <c r="L99" s="21"/>
      <c r="M99" s="21"/>
      <c r="N99" s="21"/>
      <c r="O99" s="21"/>
      <c r="P99" s="21"/>
      <c r="Q99" s="21"/>
      <c r="R99" s="21"/>
      <c r="S99" s="22"/>
      <c r="T99" s="5"/>
      <c r="U99" s="5"/>
      <c r="V99" s="5"/>
      <c r="W99" s="5"/>
      <c r="X99" s="5"/>
      <c r="Y99" s="5"/>
      <c r="Z99" s="5"/>
    </row>
    <row r="100" spans="1:26">
      <c r="A100" s="9">
        <v>89</v>
      </c>
      <c r="B100" s="10" t="s">
        <v>248</v>
      </c>
      <c r="C100" s="18" t="s">
        <v>68</v>
      </c>
      <c r="D100" s="10" t="s">
        <v>18</v>
      </c>
      <c r="E100" s="19"/>
      <c r="F100" s="19"/>
      <c r="G100" s="10" t="s">
        <v>249</v>
      </c>
      <c r="H100" s="20"/>
      <c r="I100" s="20"/>
      <c r="J100" s="20"/>
      <c r="K100" s="20"/>
      <c r="L100" s="21"/>
      <c r="M100" s="21"/>
      <c r="N100" s="21"/>
      <c r="O100" s="21"/>
      <c r="P100" s="21"/>
      <c r="Q100" s="21"/>
      <c r="R100" s="21"/>
      <c r="S100" s="22"/>
      <c r="T100" s="5"/>
      <c r="U100" s="5"/>
      <c r="V100" s="5"/>
      <c r="W100" s="5"/>
      <c r="X100" s="5"/>
      <c r="Y100" s="5"/>
      <c r="Z100" s="5"/>
    </row>
    <row r="101" spans="1:26">
      <c r="A101" s="9">
        <v>90</v>
      </c>
      <c r="B101" s="10" t="s">
        <v>250</v>
      </c>
      <c r="C101" s="18" t="s">
        <v>68</v>
      </c>
      <c r="D101" s="10" t="s">
        <v>18</v>
      </c>
      <c r="E101" s="19"/>
      <c r="F101" s="19"/>
      <c r="G101" s="10" t="s">
        <v>251</v>
      </c>
      <c r="H101" s="20"/>
      <c r="I101" s="20"/>
      <c r="J101" s="20"/>
      <c r="K101" s="20"/>
      <c r="L101" s="21"/>
      <c r="M101" s="21"/>
      <c r="N101" s="21"/>
      <c r="O101" s="21"/>
      <c r="P101" s="21"/>
      <c r="Q101" s="21"/>
      <c r="R101" s="21"/>
      <c r="S101" s="22"/>
      <c r="T101" s="5"/>
      <c r="U101" s="5"/>
      <c r="V101" s="5"/>
      <c r="W101" s="5"/>
      <c r="X101" s="5"/>
      <c r="Y101" s="5"/>
      <c r="Z101" s="5"/>
    </row>
    <row r="102" spans="1:26">
      <c r="A102" s="9">
        <v>91</v>
      </c>
      <c r="B102" s="10" t="s">
        <v>252</v>
      </c>
      <c r="C102" s="11" t="s">
        <v>49</v>
      </c>
      <c r="D102" s="10" t="s">
        <v>52</v>
      </c>
      <c r="E102" s="12">
        <v>200</v>
      </c>
      <c r="F102" s="12" t="s">
        <v>53</v>
      </c>
      <c r="G102" s="10" t="s">
        <v>253</v>
      </c>
      <c r="H102" s="20"/>
      <c r="I102" s="10" t="s">
        <v>254</v>
      </c>
      <c r="J102" s="10" t="s">
        <v>255</v>
      </c>
      <c r="K102" s="10" t="s">
        <v>256</v>
      </c>
      <c r="L102" s="21"/>
      <c r="M102" s="21"/>
      <c r="N102" s="21"/>
      <c r="O102" s="21"/>
      <c r="P102" s="21"/>
      <c r="Q102" s="21"/>
      <c r="R102" s="21"/>
      <c r="S102" s="22"/>
      <c r="T102" s="5"/>
      <c r="U102" s="5"/>
      <c r="V102" s="5"/>
      <c r="W102" s="5"/>
      <c r="X102" s="5"/>
      <c r="Y102" s="5"/>
      <c r="Z102" s="5"/>
    </row>
    <row r="103" spans="1:26">
      <c r="A103" s="9">
        <v>92</v>
      </c>
      <c r="B103" s="10" t="s">
        <v>257</v>
      </c>
      <c r="C103" s="11" t="s">
        <v>49</v>
      </c>
      <c r="D103" s="10" t="s">
        <v>52</v>
      </c>
      <c r="E103" s="12">
        <v>200</v>
      </c>
      <c r="F103" s="12" t="s">
        <v>53</v>
      </c>
      <c r="G103" s="10" t="s">
        <v>258</v>
      </c>
      <c r="H103" s="20"/>
      <c r="I103" s="10" t="s">
        <v>259</v>
      </c>
      <c r="J103" s="10" t="s">
        <v>260</v>
      </c>
      <c r="K103" s="10" t="s">
        <v>261</v>
      </c>
      <c r="L103" s="21"/>
      <c r="M103" s="21"/>
      <c r="N103" s="21"/>
      <c r="O103" s="21"/>
      <c r="P103" s="21"/>
      <c r="Q103" s="21"/>
      <c r="R103" s="21"/>
      <c r="S103" s="22"/>
      <c r="T103" s="5"/>
      <c r="U103" s="5"/>
      <c r="V103" s="5"/>
      <c r="W103" s="5"/>
      <c r="X103" s="5"/>
      <c r="Y103" s="5"/>
      <c r="Z103" s="5"/>
    </row>
    <row r="104" spans="1:26">
      <c r="A104" s="9">
        <v>93</v>
      </c>
      <c r="B104" s="10" t="s">
        <v>262</v>
      </c>
      <c r="C104" s="11" t="s">
        <v>49</v>
      </c>
      <c r="D104" s="10" t="s">
        <v>52</v>
      </c>
      <c r="E104" s="12">
        <v>303</v>
      </c>
      <c r="F104" s="12" t="s">
        <v>53</v>
      </c>
      <c r="G104" s="10" t="s">
        <v>263</v>
      </c>
      <c r="H104" s="20"/>
      <c r="I104" s="10" t="s">
        <v>164</v>
      </c>
      <c r="J104" s="10" t="s">
        <v>264</v>
      </c>
      <c r="K104" s="10" t="s">
        <v>265</v>
      </c>
      <c r="L104" s="21"/>
      <c r="M104" s="21"/>
      <c r="N104" s="21"/>
      <c r="O104" s="21"/>
      <c r="P104" s="21"/>
      <c r="Q104" s="21"/>
      <c r="R104" s="21"/>
      <c r="S104" s="22"/>
      <c r="T104" s="5"/>
      <c r="U104" s="5"/>
      <c r="V104" s="5"/>
      <c r="W104" s="5"/>
      <c r="X104" s="5"/>
      <c r="Y104" s="5"/>
      <c r="Z104" s="5"/>
    </row>
    <row r="105" spans="1:26">
      <c r="A105" s="9">
        <v>94</v>
      </c>
      <c r="B105" s="10" t="s">
        <v>266</v>
      </c>
      <c r="C105" s="11" t="s">
        <v>49</v>
      </c>
      <c r="D105" s="10" t="s">
        <v>52</v>
      </c>
      <c r="E105" s="12">
        <v>200</v>
      </c>
      <c r="F105" s="12" t="s">
        <v>53</v>
      </c>
      <c r="G105" s="10" t="s">
        <v>123</v>
      </c>
      <c r="H105" s="10" t="s">
        <v>122</v>
      </c>
      <c r="I105" s="10" t="s">
        <v>56</v>
      </c>
      <c r="J105" s="10" t="s">
        <v>267</v>
      </c>
      <c r="K105" s="10" t="s">
        <v>268</v>
      </c>
      <c r="L105" s="21"/>
      <c r="M105" s="21"/>
      <c r="N105" s="21"/>
      <c r="O105" s="21"/>
      <c r="P105" s="21"/>
      <c r="Q105" s="21"/>
      <c r="R105" s="21"/>
      <c r="S105" s="22"/>
      <c r="T105" s="5"/>
      <c r="U105" s="5"/>
      <c r="V105" s="5"/>
      <c r="W105" s="5"/>
      <c r="X105" s="5"/>
      <c r="Y105" s="5"/>
      <c r="Z105" s="5"/>
    </row>
    <row r="106" spans="1:26">
      <c r="A106" s="9">
        <v>95</v>
      </c>
      <c r="B106" s="10" t="s">
        <v>269</v>
      </c>
      <c r="C106" s="18" t="s">
        <v>68</v>
      </c>
      <c r="D106" s="10" t="s">
        <v>18</v>
      </c>
      <c r="E106" s="19"/>
      <c r="F106" s="19"/>
      <c r="G106" s="10" t="s">
        <v>270</v>
      </c>
      <c r="H106" s="20"/>
      <c r="I106" s="20"/>
      <c r="J106" s="20"/>
      <c r="K106" s="20"/>
      <c r="L106" s="21"/>
      <c r="M106" s="21"/>
      <c r="N106" s="21"/>
      <c r="O106" s="21"/>
      <c r="P106" s="21"/>
      <c r="Q106" s="21"/>
      <c r="R106" s="21"/>
      <c r="S106" s="22"/>
      <c r="T106" s="5"/>
      <c r="U106" s="5"/>
      <c r="V106" s="5"/>
      <c r="W106" s="5"/>
      <c r="X106" s="5"/>
      <c r="Y106" s="5"/>
      <c r="Z106" s="5"/>
    </row>
    <row r="107" spans="1:26">
      <c r="A107" s="9">
        <v>96</v>
      </c>
      <c r="B107" s="10" t="s">
        <v>271</v>
      </c>
      <c r="C107" s="18" t="s">
        <v>68</v>
      </c>
      <c r="D107" s="10" t="s">
        <v>18</v>
      </c>
      <c r="E107" s="19"/>
      <c r="F107" s="19"/>
      <c r="G107" s="10" t="s">
        <v>272</v>
      </c>
      <c r="H107" s="20"/>
      <c r="I107" s="20"/>
      <c r="J107" s="20"/>
      <c r="K107" s="20"/>
      <c r="L107" s="21"/>
      <c r="M107" s="21"/>
      <c r="N107" s="21"/>
      <c r="O107" s="21"/>
      <c r="P107" s="21"/>
      <c r="Q107" s="21"/>
      <c r="R107" s="21"/>
      <c r="S107" s="22"/>
      <c r="T107" s="5"/>
      <c r="U107" s="5"/>
      <c r="V107" s="5"/>
      <c r="W107" s="5"/>
      <c r="X107" s="5"/>
      <c r="Y107" s="5"/>
      <c r="Z107" s="5"/>
    </row>
    <row r="108" spans="1:26">
      <c r="A108" s="9">
        <v>97</v>
      </c>
      <c r="B108" s="10" t="s">
        <v>273</v>
      </c>
      <c r="C108" s="18" t="s">
        <v>68</v>
      </c>
      <c r="D108" s="10" t="s">
        <v>18</v>
      </c>
      <c r="E108" s="19"/>
      <c r="F108" s="19"/>
      <c r="G108" s="10" t="s">
        <v>274</v>
      </c>
      <c r="H108" s="20"/>
      <c r="I108" s="20"/>
      <c r="J108" s="20"/>
      <c r="K108" s="20"/>
      <c r="L108" s="21"/>
      <c r="M108" s="21"/>
      <c r="N108" s="21"/>
      <c r="O108" s="21"/>
      <c r="P108" s="21"/>
      <c r="Q108" s="21"/>
      <c r="R108" s="21"/>
      <c r="S108" s="22"/>
      <c r="T108" s="5"/>
      <c r="U108" s="5"/>
      <c r="V108" s="5"/>
      <c r="W108" s="5"/>
      <c r="X108" s="5"/>
      <c r="Y108" s="5"/>
      <c r="Z108" s="5"/>
    </row>
    <row r="109" spans="1:26">
      <c r="A109" s="9">
        <v>98</v>
      </c>
      <c r="B109" s="10" t="s">
        <v>275</v>
      </c>
      <c r="C109" s="18" t="s">
        <v>68</v>
      </c>
      <c r="D109" s="10" t="s">
        <v>18</v>
      </c>
      <c r="E109" s="19"/>
      <c r="F109" s="19"/>
      <c r="G109" s="10" t="s">
        <v>276</v>
      </c>
      <c r="H109" s="20"/>
      <c r="I109" s="20"/>
      <c r="J109" s="20"/>
      <c r="K109" s="20"/>
      <c r="L109" s="21"/>
      <c r="M109" s="21"/>
      <c r="N109" s="21"/>
      <c r="O109" s="21"/>
      <c r="P109" s="21"/>
      <c r="Q109" s="21"/>
      <c r="R109" s="21"/>
      <c r="S109" s="22"/>
      <c r="T109" s="5"/>
      <c r="U109" s="5"/>
      <c r="V109" s="5"/>
      <c r="W109" s="5"/>
      <c r="X109" s="5"/>
      <c r="Y109" s="5"/>
      <c r="Z109" s="5"/>
    </row>
    <row r="110" spans="1:26">
      <c r="A110" s="9">
        <v>99</v>
      </c>
      <c r="B110" s="10" t="s">
        <v>277</v>
      </c>
      <c r="C110" s="18" t="s">
        <v>68</v>
      </c>
      <c r="D110" s="10" t="s">
        <v>18</v>
      </c>
      <c r="E110" s="19"/>
      <c r="F110" s="19"/>
      <c r="G110" s="10" t="s">
        <v>278</v>
      </c>
      <c r="H110" s="20"/>
      <c r="I110" s="20"/>
      <c r="J110" s="20"/>
      <c r="K110" s="20"/>
      <c r="L110" s="21"/>
      <c r="M110" s="21"/>
      <c r="N110" s="21"/>
      <c r="O110" s="21"/>
      <c r="P110" s="21"/>
      <c r="Q110" s="21"/>
      <c r="R110" s="21"/>
      <c r="S110" s="22"/>
      <c r="T110" s="5"/>
      <c r="U110" s="5"/>
      <c r="V110" s="5"/>
      <c r="W110" s="5"/>
      <c r="X110" s="5"/>
      <c r="Y110" s="5"/>
      <c r="Z110" s="5"/>
    </row>
    <row r="111" spans="1:26">
      <c r="A111" s="9">
        <v>100</v>
      </c>
      <c r="B111" s="10" t="s">
        <v>279</v>
      </c>
      <c r="C111" s="18" t="s">
        <v>68</v>
      </c>
      <c r="D111" s="10" t="s">
        <v>18</v>
      </c>
      <c r="E111" s="19"/>
      <c r="F111" s="19"/>
      <c r="G111" s="10" t="s">
        <v>280</v>
      </c>
      <c r="H111" s="20"/>
      <c r="I111" s="20"/>
      <c r="J111" s="20"/>
      <c r="K111" s="20"/>
      <c r="L111" s="21"/>
      <c r="M111" s="21"/>
      <c r="N111" s="21"/>
      <c r="O111" s="21"/>
      <c r="P111" s="21"/>
      <c r="Q111" s="21"/>
      <c r="R111" s="21"/>
      <c r="S111" s="22"/>
      <c r="T111" s="5"/>
      <c r="U111" s="5"/>
      <c r="V111" s="5"/>
      <c r="W111" s="5"/>
      <c r="X111" s="5"/>
      <c r="Y111" s="5"/>
      <c r="Z111" s="5"/>
    </row>
    <row r="112" spans="1:26">
      <c r="A112" s="9">
        <v>101</v>
      </c>
      <c r="B112" s="10" t="s">
        <v>281</v>
      </c>
      <c r="C112" s="18" t="s">
        <v>68</v>
      </c>
      <c r="D112" s="10" t="s">
        <v>18</v>
      </c>
      <c r="E112" s="19"/>
      <c r="F112" s="19"/>
      <c r="G112" s="10" t="s">
        <v>282</v>
      </c>
      <c r="H112" s="20"/>
      <c r="I112" s="20"/>
      <c r="J112" s="20"/>
      <c r="K112" s="20"/>
      <c r="L112" s="21"/>
      <c r="M112" s="21"/>
      <c r="N112" s="21"/>
      <c r="O112" s="21"/>
      <c r="P112" s="21"/>
      <c r="Q112" s="21"/>
      <c r="R112" s="21"/>
      <c r="S112" s="22"/>
      <c r="T112" s="5"/>
      <c r="U112" s="5"/>
      <c r="V112" s="5"/>
      <c r="W112" s="5"/>
      <c r="X112" s="5"/>
      <c r="Y112" s="5"/>
      <c r="Z112" s="5"/>
    </row>
    <row r="113" spans="1:26">
      <c r="A113" s="9">
        <v>102</v>
      </c>
      <c r="B113" s="10" t="s">
        <v>283</v>
      </c>
      <c r="C113" s="18" t="s">
        <v>68</v>
      </c>
      <c r="D113" s="10" t="s">
        <v>18</v>
      </c>
      <c r="E113" s="19"/>
      <c r="F113" s="19"/>
      <c r="G113" s="10" t="s">
        <v>284</v>
      </c>
      <c r="H113" s="20"/>
      <c r="I113" s="20"/>
      <c r="J113" s="20"/>
      <c r="K113" s="20"/>
      <c r="L113" s="21"/>
      <c r="M113" s="21"/>
      <c r="N113" s="21"/>
      <c r="O113" s="21"/>
      <c r="P113" s="21"/>
      <c r="Q113" s="21"/>
      <c r="R113" s="21"/>
      <c r="S113" s="22"/>
      <c r="T113" s="5"/>
      <c r="U113" s="5"/>
      <c r="V113" s="5"/>
      <c r="W113" s="5"/>
      <c r="X113" s="5"/>
      <c r="Y113" s="5"/>
      <c r="Z113" s="5"/>
    </row>
    <row r="114" spans="1:26">
      <c r="A114" s="9">
        <v>103</v>
      </c>
      <c r="B114" s="10" t="s">
        <v>285</v>
      </c>
      <c r="C114" s="18" t="s">
        <v>68</v>
      </c>
      <c r="D114" s="10" t="s">
        <v>18</v>
      </c>
      <c r="E114" s="19"/>
      <c r="F114" s="19"/>
      <c r="G114" s="10" t="s">
        <v>286</v>
      </c>
      <c r="H114" s="20"/>
      <c r="I114" s="20"/>
      <c r="J114" s="20"/>
      <c r="K114" s="20"/>
      <c r="L114" s="21"/>
      <c r="M114" s="21"/>
      <c r="N114" s="21"/>
      <c r="O114" s="21"/>
      <c r="P114" s="21"/>
      <c r="Q114" s="21"/>
      <c r="R114" s="21"/>
      <c r="S114" s="22"/>
      <c r="T114" s="5"/>
      <c r="U114" s="5"/>
      <c r="V114" s="5"/>
      <c r="W114" s="5"/>
      <c r="X114" s="5"/>
      <c r="Y114" s="5"/>
      <c r="Z114" s="5"/>
    </row>
    <row r="115" spans="1:26">
      <c r="A115" s="9">
        <v>104</v>
      </c>
      <c r="B115" s="10" t="s">
        <v>287</v>
      </c>
      <c r="C115" s="18" t="s">
        <v>68</v>
      </c>
      <c r="D115" s="10" t="s">
        <v>18</v>
      </c>
      <c r="E115" s="19"/>
      <c r="F115" s="19"/>
      <c r="G115" s="10" t="s">
        <v>288</v>
      </c>
      <c r="H115" s="20"/>
      <c r="I115" s="20"/>
      <c r="J115" s="20"/>
      <c r="K115" s="20"/>
      <c r="L115" s="21"/>
      <c r="M115" s="21"/>
      <c r="N115" s="21"/>
      <c r="O115" s="21"/>
      <c r="P115" s="21"/>
      <c r="Q115" s="21"/>
      <c r="R115" s="21"/>
      <c r="S115" s="22"/>
      <c r="T115" s="5"/>
      <c r="U115" s="5"/>
      <c r="V115" s="5"/>
      <c r="W115" s="5"/>
      <c r="X115" s="5"/>
      <c r="Y115" s="5"/>
      <c r="Z115" s="5"/>
    </row>
    <row r="116" spans="1:26">
      <c r="A116" s="9">
        <v>105</v>
      </c>
      <c r="B116" s="10" t="s">
        <v>289</v>
      </c>
      <c r="C116" s="11" t="s">
        <v>49</v>
      </c>
      <c r="D116" s="10" t="s">
        <v>52</v>
      </c>
      <c r="E116" s="12">
        <v>200</v>
      </c>
      <c r="F116" s="12" t="s">
        <v>53</v>
      </c>
      <c r="G116" s="10" t="s">
        <v>123</v>
      </c>
      <c r="H116" s="10" t="s">
        <v>122</v>
      </c>
      <c r="I116" s="10" t="s">
        <v>290</v>
      </c>
      <c r="J116" s="10" t="s">
        <v>291</v>
      </c>
      <c r="K116" s="10" t="s">
        <v>292</v>
      </c>
      <c r="L116" s="21"/>
      <c r="M116" s="21"/>
      <c r="N116" s="21"/>
      <c r="O116" s="21"/>
      <c r="P116" s="21"/>
      <c r="Q116" s="21"/>
      <c r="R116" s="21"/>
      <c r="S116" s="22"/>
      <c r="T116" s="5"/>
      <c r="U116" s="5"/>
      <c r="V116" s="5"/>
      <c r="W116" s="5"/>
      <c r="X116" s="5"/>
      <c r="Y116" s="5"/>
      <c r="Z116" s="5"/>
    </row>
    <row r="117" spans="1:26">
      <c r="A117" s="9">
        <v>106</v>
      </c>
      <c r="B117" s="10" t="s">
        <v>293</v>
      </c>
      <c r="C117" s="11" t="s">
        <v>49</v>
      </c>
      <c r="D117" s="10" t="s">
        <v>52</v>
      </c>
      <c r="E117" s="12">
        <v>200</v>
      </c>
      <c r="F117" s="12" t="s">
        <v>53</v>
      </c>
      <c r="G117" s="10" t="s">
        <v>294</v>
      </c>
      <c r="H117" s="10" t="s">
        <v>295</v>
      </c>
      <c r="I117" s="10" t="s">
        <v>56</v>
      </c>
      <c r="J117" s="10" t="s">
        <v>82</v>
      </c>
      <c r="K117" s="10" t="s">
        <v>296</v>
      </c>
      <c r="L117" s="21"/>
      <c r="M117" s="21"/>
      <c r="N117" s="21"/>
      <c r="O117" s="21"/>
      <c r="P117" s="21"/>
      <c r="Q117" s="21"/>
      <c r="R117" s="21"/>
      <c r="S117" s="22"/>
      <c r="T117" s="5"/>
      <c r="U117" s="5"/>
      <c r="V117" s="5"/>
      <c r="W117" s="5"/>
      <c r="X117" s="5"/>
      <c r="Y117" s="5"/>
      <c r="Z117" s="5"/>
    </row>
    <row r="118" spans="1:26">
      <c r="A118" s="9">
        <v>107</v>
      </c>
      <c r="B118" s="10" t="s">
        <v>297</v>
      </c>
      <c r="C118" s="18" t="s">
        <v>68</v>
      </c>
      <c r="D118" s="10" t="s">
        <v>18</v>
      </c>
      <c r="E118" s="19"/>
      <c r="F118" s="19"/>
      <c r="G118" s="10" t="s">
        <v>298</v>
      </c>
      <c r="H118" s="10" t="s">
        <v>299</v>
      </c>
      <c r="I118" s="20"/>
      <c r="J118" s="20"/>
      <c r="K118" s="20"/>
      <c r="L118" s="21"/>
      <c r="M118" s="21"/>
      <c r="N118" s="21"/>
      <c r="O118" s="21"/>
      <c r="P118" s="21"/>
      <c r="Q118" s="21"/>
      <c r="R118" s="21"/>
      <c r="S118" s="22"/>
      <c r="T118" s="5"/>
      <c r="U118" s="5"/>
      <c r="V118" s="5"/>
      <c r="W118" s="5"/>
      <c r="X118" s="5"/>
      <c r="Y118" s="5"/>
      <c r="Z118" s="5"/>
    </row>
    <row r="119" spans="1:26">
      <c r="A119" s="9">
        <v>108</v>
      </c>
      <c r="B119" s="10" t="s">
        <v>300</v>
      </c>
      <c r="C119" s="18" t="s">
        <v>68</v>
      </c>
      <c r="D119" s="10" t="s">
        <v>18</v>
      </c>
      <c r="E119" s="19"/>
      <c r="F119" s="19"/>
      <c r="G119" s="10" t="s">
        <v>301</v>
      </c>
      <c r="H119" s="20"/>
      <c r="I119" s="20"/>
      <c r="J119" s="20"/>
      <c r="K119" s="20"/>
      <c r="L119" s="21"/>
      <c r="M119" s="21"/>
      <c r="N119" s="21"/>
      <c r="O119" s="21"/>
      <c r="P119" s="21"/>
      <c r="Q119" s="21"/>
      <c r="R119" s="21"/>
      <c r="S119" s="22"/>
      <c r="T119" s="5"/>
      <c r="U119" s="5"/>
      <c r="V119" s="5"/>
      <c r="W119" s="5"/>
      <c r="X119" s="5"/>
      <c r="Y119" s="5"/>
      <c r="Z119" s="5"/>
    </row>
    <row r="120" spans="1:26">
      <c r="A120" s="9">
        <v>109</v>
      </c>
      <c r="B120" s="10" t="s">
        <v>302</v>
      </c>
      <c r="C120" s="18" t="s">
        <v>68</v>
      </c>
      <c r="D120" s="10" t="s">
        <v>18</v>
      </c>
      <c r="E120" s="19"/>
      <c r="F120" s="19"/>
      <c r="G120" s="10" t="s">
        <v>303</v>
      </c>
      <c r="H120" s="20"/>
      <c r="I120" s="20"/>
      <c r="J120" s="20"/>
      <c r="K120" s="20"/>
      <c r="L120" s="21"/>
      <c r="M120" s="21"/>
      <c r="N120" s="21"/>
      <c r="O120" s="21"/>
      <c r="P120" s="21"/>
      <c r="Q120" s="21"/>
      <c r="R120" s="21"/>
      <c r="S120" s="22"/>
      <c r="T120" s="5"/>
      <c r="U120" s="5"/>
      <c r="V120" s="5"/>
      <c r="W120" s="5"/>
      <c r="X120" s="5"/>
      <c r="Y120" s="5"/>
      <c r="Z120" s="5"/>
    </row>
    <row r="121" spans="1:26">
      <c r="A121" s="9">
        <v>110</v>
      </c>
      <c r="B121" s="10" t="s">
        <v>304</v>
      </c>
      <c r="C121" s="18" t="s">
        <v>68</v>
      </c>
      <c r="D121" s="10" t="s">
        <v>18</v>
      </c>
      <c r="E121" s="19"/>
      <c r="F121" s="19"/>
      <c r="G121" s="10" t="s">
        <v>305</v>
      </c>
      <c r="H121" s="20"/>
      <c r="I121" s="20"/>
      <c r="J121" s="20"/>
      <c r="K121" s="20"/>
      <c r="L121" s="21"/>
      <c r="M121" s="21"/>
      <c r="N121" s="21"/>
      <c r="O121" s="21"/>
      <c r="P121" s="21"/>
      <c r="Q121" s="21"/>
      <c r="R121" s="21"/>
      <c r="S121" s="22"/>
      <c r="T121" s="5"/>
      <c r="U121" s="5"/>
      <c r="V121" s="5"/>
      <c r="W121" s="5"/>
      <c r="X121" s="5"/>
      <c r="Y121" s="5"/>
      <c r="Z121" s="5"/>
    </row>
    <row r="122" spans="1:26">
      <c r="A122" s="9">
        <v>111</v>
      </c>
      <c r="B122" s="10" t="s">
        <v>306</v>
      </c>
      <c r="C122" s="18" t="s">
        <v>68</v>
      </c>
      <c r="D122" s="10" t="s">
        <v>18</v>
      </c>
      <c r="E122" s="19"/>
      <c r="F122" s="19"/>
      <c r="G122" s="10" t="s">
        <v>307</v>
      </c>
      <c r="H122" s="20"/>
      <c r="I122" s="20"/>
      <c r="J122" s="20"/>
      <c r="K122" s="20"/>
      <c r="L122" s="21"/>
      <c r="M122" s="21"/>
      <c r="N122" s="21"/>
      <c r="O122" s="21"/>
      <c r="P122" s="21"/>
      <c r="Q122" s="21"/>
      <c r="R122" s="21"/>
      <c r="S122" s="22"/>
      <c r="T122" s="5"/>
      <c r="U122" s="5"/>
      <c r="V122" s="5"/>
      <c r="W122" s="5"/>
      <c r="X122" s="5"/>
      <c r="Y122" s="5"/>
      <c r="Z122" s="5"/>
    </row>
    <row r="123" spans="1:26">
      <c r="A123" s="9">
        <v>112</v>
      </c>
      <c r="B123" s="10" t="s">
        <v>308</v>
      </c>
      <c r="C123" s="18" t="s">
        <v>68</v>
      </c>
      <c r="D123" s="10" t="s">
        <v>18</v>
      </c>
      <c r="E123" s="19"/>
      <c r="F123" s="19"/>
      <c r="G123" s="10" t="s">
        <v>309</v>
      </c>
      <c r="H123" s="20"/>
      <c r="I123" s="20"/>
      <c r="J123" s="20"/>
      <c r="K123" s="20"/>
      <c r="L123" s="21"/>
      <c r="M123" s="21"/>
      <c r="N123" s="21"/>
      <c r="O123" s="21"/>
      <c r="P123" s="21"/>
      <c r="Q123" s="21"/>
      <c r="R123" s="21"/>
      <c r="S123" s="22"/>
      <c r="T123" s="5"/>
      <c r="U123" s="5"/>
      <c r="V123" s="5"/>
      <c r="W123" s="5"/>
      <c r="X123" s="5"/>
      <c r="Y123" s="5"/>
      <c r="Z123" s="5"/>
    </row>
    <row r="124" spans="1:26">
      <c r="A124" s="9">
        <v>113</v>
      </c>
      <c r="B124" s="10" t="s">
        <v>310</v>
      </c>
      <c r="C124" s="18" t="s">
        <v>68</v>
      </c>
      <c r="D124" s="10" t="s">
        <v>18</v>
      </c>
      <c r="E124" s="19"/>
      <c r="F124" s="19"/>
      <c r="G124" s="10" t="s">
        <v>311</v>
      </c>
      <c r="H124" s="20"/>
      <c r="I124" s="20"/>
      <c r="J124" s="20"/>
      <c r="K124" s="20"/>
      <c r="L124" s="21"/>
      <c r="M124" s="21"/>
      <c r="N124" s="21"/>
      <c r="O124" s="21"/>
      <c r="P124" s="21"/>
      <c r="Q124" s="21"/>
      <c r="R124" s="21"/>
      <c r="S124" s="22"/>
      <c r="T124" s="5"/>
      <c r="U124" s="5"/>
      <c r="V124" s="5"/>
      <c r="W124" s="5"/>
      <c r="X124" s="5"/>
      <c r="Y124" s="5"/>
      <c r="Z124" s="5"/>
    </row>
    <row r="125" spans="1:26">
      <c r="A125" s="9">
        <v>114</v>
      </c>
      <c r="B125" s="10" t="s">
        <v>312</v>
      </c>
      <c r="C125" s="18" t="s">
        <v>68</v>
      </c>
      <c r="D125" s="10" t="s">
        <v>18</v>
      </c>
      <c r="E125" s="19"/>
      <c r="F125" s="19"/>
      <c r="G125" s="10" t="s">
        <v>313</v>
      </c>
      <c r="H125" s="20"/>
      <c r="I125" s="20"/>
      <c r="J125" s="20"/>
      <c r="K125" s="20"/>
      <c r="L125" s="21"/>
      <c r="M125" s="21"/>
      <c r="N125" s="21"/>
      <c r="O125" s="21"/>
      <c r="P125" s="21"/>
      <c r="Q125" s="21"/>
      <c r="R125" s="21"/>
      <c r="S125" s="22"/>
      <c r="T125" s="5"/>
      <c r="U125" s="5"/>
      <c r="V125" s="5"/>
      <c r="W125" s="5"/>
      <c r="X125" s="5"/>
      <c r="Y125" s="5"/>
      <c r="Z125" s="5"/>
    </row>
    <row r="126" spans="1:26">
      <c r="A126" s="9">
        <v>115</v>
      </c>
      <c r="B126" s="10" t="s">
        <v>314</v>
      </c>
      <c r="C126" s="18" t="s">
        <v>68</v>
      </c>
      <c r="D126" s="10" t="s">
        <v>18</v>
      </c>
      <c r="E126" s="19"/>
      <c r="F126" s="19"/>
      <c r="G126" s="10" t="s">
        <v>315</v>
      </c>
      <c r="H126" s="20"/>
      <c r="I126" s="20"/>
      <c r="J126" s="20"/>
      <c r="K126" s="20"/>
      <c r="L126" s="21"/>
      <c r="M126" s="21"/>
      <c r="N126" s="21"/>
      <c r="O126" s="21"/>
      <c r="P126" s="21"/>
      <c r="Q126" s="21"/>
      <c r="R126" s="21"/>
      <c r="S126" s="22"/>
      <c r="T126" s="5"/>
      <c r="U126" s="5"/>
      <c r="V126" s="5"/>
      <c r="W126" s="5"/>
      <c r="X126" s="5"/>
      <c r="Y126" s="5"/>
      <c r="Z126" s="5"/>
    </row>
    <row r="127" spans="1:26">
      <c r="A127" s="9">
        <v>116</v>
      </c>
      <c r="B127" s="10" t="s">
        <v>316</v>
      </c>
      <c r="C127" s="11" t="s">
        <v>49</v>
      </c>
      <c r="D127" s="10" t="s">
        <v>52</v>
      </c>
      <c r="E127" s="12">
        <v>200</v>
      </c>
      <c r="F127" s="12" t="s">
        <v>53</v>
      </c>
      <c r="G127" s="10" t="s">
        <v>120</v>
      </c>
      <c r="H127" s="20"/>
      <c r="I127" s="10" t="s">
        <v>56</v>
      </c>
      <c r="J127" s="10" t="s">
        <v>317</v>
      </c>
      <c r="K127" s="10" t="s">
        <v>318</v>
      </c>
      <c r="L127" s="21"/>
      <c r="M127" s="21"/>
      <c r="N127" s="21"/>
      <c r="O127" s="21"/>
      <c r="P127" s="21"/>
      <c r="Q127" s="21"/>
      <c r="R127" s="21"/>
      <c r="S127" s="22"/>
      <c r="T127" s="5"/>
      <c r="U127" s="5"/>
      <c r="V127" s="5"/>
      <c r="W127" s="5"/>
      <c r="X127" s="5"/>
      <c r="Y127" s="5"/>
      <c r="Z127" s="5"/>
    </row>
    <row r="128" spans="1:26">
      <c r="A128" s="9">
        <v>117</v>
      </c>
      <c r="B128" s="10" t="s">
        <v>319</v>
      </c>
      <c r="C128" s="18" t="s">
        <v>68</v>
      </c>
      <c r="D128" s="10" t="s">
        <v>23</v>
      </c>
      <c r="E128" s="19"/>
      <c r="F128" s="19"/>
      <c r="G128" s="20"/>
      <c r="H128" s="20"/>
      <c r="I128" s="20"/>
      <c r="J128" s="20"/>
      <c r="K128" s="20"/>
      <c r="L128" s="21"/>
      <c r="M128" s="21"/>
      <c r="N128" s="21"/>
      <c r="O128" s="21"/>
      <c r="P128" s="21"/>
      <c r="Q128" s="21"/>
      <c r="R128" s="21"/>
      <c r="S128" s="22"/>
      <c r="T128" s="5"/>
      <c r="U128" s="5"/>
      <c r="V128" s="5"/>
      <c r="W128" s="5"/>
      <c r="X128" s="5"/>
      <c r="Y128" s="5"/>
      <c r="Z128" s="5"/>
    </row>
    <row r="129" spans="1:26">
      <c r="A129" s="9">
        <v>118</v>
      </c>
      <c r="B129" s="10" t="s">
        <v>320</v>
      </c>
      <c r="C129" s="11" t="s">
        <v>49</v>
      </c>
      <c r="D129" s="10" t="s">
        <v>52</v>
      </c>
      <c r="E129" s="12">
        <v>200</v>
      </c>
      <c r="F129" s="12" t="s">
        <v>53</v>
      </c>
      <c r="G129" s="10" t="s">
        <v>123</v>
      </c>
      <c r="H129" s="20"/>
      <c r="I129" s="10" t="s">
        <v>56</v>
      </c>
      <c r="J129" s="10" t="s">
        <v>321</v>
      </c>
      <c r="K129" s="10" t="s">
        <v>322</v>
      </c>
      <c r="L129" s="21"/>
      <c r="M129" s="21"/>
      <c r="N129" s="21"/>
      <c r="O129" s="21"/>
      <c r="P129" s="21"/>
      <c r="Q129" s="21"/>
      <c r="R129" s="21"/>
      <c r="S129" s="22"/>
      <c r="T129" s="5"/>
      <c r="U129" s="5"/>
      <c r="V129" s="5"/>
      <c r="W129" s="5"/>
      <c r="X129" s="5"/>
      <c r="Y129" s="5"/>
      <c r="Z129" s="5"/>
    </row>
    <row r="130" spans="1:26">
      <c r="A130" s="9">
        <v>119</v>
      </c>
      <c r="B130" s="10" t="s">
        <v>323</v>
      </c>
      <c r="C130" s="11" t="s">
        <v>49</v>
      </c>
      <c r="D130" s="10" t="s">
        <v>52</v>
      </c>
      <c r="E130" s="12">
        <v>200</v>
      </c>
      <c r="F130" s="12" t="s">
        <v>53</v>
      </c>
      <c r="G130" s="10" t="s">
        <v>324</v>
      </c>
      <c r="H130" s="20"/>
      <c r="I130" s="10" t="s">
        <v>325</v>
      </c>
      <c r="J130" s="10" t="s">
        <v>326</v>
      </c>
      <c r="K130" s="10" t="s">
        <v>327</v>
      </c>
      <c r="L130" s="21"/>
      <c r="M130" s="21"/>
      <c r="N130" s="21"/>
      <c r="O130" s="21"/>
      <c r="P130" s="21"/>
      <c r="Q130" s="21"/>
      <c r="R130" s="21"/>
      <c r="S130" s="22"/>
      <c r="T130" s="5"/>
      <c r="U130" s="5"/>
      <c r="V130" s="5"/>
      <c r="W130" s="5"/>
      <c r="X130" s="5"/>
      <c r="Y130" s="5"/>
      <c r="Z130" s="5"/>
    </row>
    <row r="131" spans="1:26">
      <c r="A131" s="9">
        <v>120</v>
      </c>
      <c r="B131" s="10" t="s">
        <v>328</v>
      </c>
      <c r="C131" s="11" t="s">
        <v>49</v>
      </c>
      <c r="D131" s="10" t="s">
        <v>52</v>
      </c>
      <c r="E131" s="12">
        <v>200</v>
      </c>
      <c r="F131" s="12" t="s">
        <v>53</v>
      </c>
      <c r="G131" s="10" t="s">
        <v>324</v>
      </c>
      <c r="H131" s="20"/>
      <c r="I131" s="10" t="s">
        <v>325</v>
      </c>
      <c r="J131" s="10" t="s">
        <v>326</v>
      </c>
      <c r="K131" s="10" t="s">
        <v>329</v>
      </c>
      <c r="L131" s="21"/>
      <c r="M131" s="21"/>
      <c r="N131" s="21"/>
      <c r="O131" s="21"/>
      <c r="P131" s="21"/>
      <c r="Q131" s="21"/>
      <c r="R131" s="21"/>
      <c r="S131" s="22"/>
      <c r="T131" s="5"/>
      <c r="U131" s="5"/>
      <c r="V131" s="5"/>
      <c r="W131" s="5"/>
      <c r="X131" s="5"/>
      <c r="Y131" s="5"/>
      <c r="Z131" s="5"/>
    </row>
    <row r="132" spans="1:26">
      <c r="A132" s="9">
        <v>121</v>
      </c>
      <c r="B132" s="10" t="s">
        <v>330</v>
      </c>
      <c r="C132" s="18" t="s">
        <v>68</v>
      </c>
      <c r="D132" s="10" t="s">
        <v>18</v>
      </c>
      <c r="E132" s="19"/>
      <c r="F132" s="19"/>
      <c r="G132" s="10" t="s">
        <v>298</v>
      </c>
      <c r="H132" s="20"/>
      <c r="I132" s="20"/>
      <c r="J132" s="20"/>
      <c r="K132" s="20"/>
      <c r="L132" s="21"/>
      <c r="M132" s="21"/>
      <c r="N132" s="21"/>
      <c r="O132" s="21"/>
      <c r="P132" s="21"/>
      <c r="Q132" s="21"/>
      <c r="R132" s="21"/>
      <c r="S132" s="22"/>
      <c r="T132" s="5"/>
      <c r="U132" s="5"/>
      <c r="V132" s="5"/>
      <c r="W132" s="5"/>
      <c r="X132" s="5"/>
      <c r="Y132" s="5"/>
      <c r="Z132" s="5"/>
    </row>
    <row r="133" spans="1:26">
      <c r="A133" s="9">
        <v>122</v>
      </c>
      <c r="B133" s="10" t="s">
        <v>331</v>
      </c>
      <c r="C133" s="11" t="s">
        <v>49</v>
      </c>
      <c r="D133" s="10" t="s">
        <v>52</v>
      </c>
      <c r="E133" s="12">
        <v>200</v>
      </c>
      <c r="F133" s="12" t="s">
        <v>53</v>
      </c>
      <c r="G133" s="10" t="s">
        <v>263</v>
      </c>
      <c r="H133" s="10" t="s">
        <v>262</v>
      </c>
      <c r="I133" s="10" t="s">
        <v>164</v>
      </c>
      <c r="J133" s="20"/>
      <c r="K133" s="10" t="s">
        <v>332</v>
      </c>
      <c r="L133" s="21"/>
      <c r="M133" s="21"/>
      <c r="N133" s="21"/>
      <c r="O133" s="21"/>
      <c r="P133" s="21"/>
      <c r="Q133" s="21"/>
      <c r="R133" s="21"/>
      <c r="S133" s="22"/>
      <c r="T133" s="5"/>
      <c r="U133" s="5"/>
      <c r="V133" s="5"/>
      <c r="W133" s="5"/>
      <c r="X133" s="5"/>
      <c r="Y133" s="5"/>
      <c r="Z133" s="5"/>
    </row>
    <row r="134" spans="1:26">
      <c r="A134" s="9">
        <v>123</v>
      </c>
      <c r="B134" s="10" t="s">
        <v>333</v>
      </c>
      <c r="C134" s="11" t="s">
        <v>49</v>
      </c>
      <c r="D134" s="10" t="s">
        <v>52</v>
      </c>
      <c r="E134" s="12">
        <v>200</v>
      </c>
      <c r="F134" s="12" t="s">
        <v>53</v>
      </c>
      <c r="G134" s="10" t="s">
        <v>334</v>
      </c>
      <c r="H134" s="20"/>
      <c r="I134" s="10" t="s">
        <v>335</v>
      </c>
      <c r="J134" s="10" t="s">
        <v>336</v>
      </c>
      <c r="K134" s="10" t="s">
        <v>337</v>
      </c>
      <c r="L134" s="21"/>
      <c r="M134" s="21"/>
      <c r="N134" s="21"/>
      <c r="O134" s="21"/>
      <c r="P134" s="21"/>
      <c r="Q134" s="21"/>
      <c r="R134" s="21"/>
      <c r="S134" s="22"/>
      <c r="T134" s="5"/>
      <c r="U134" s="5"/>
      <c r="V134" s="5"/>
      <c r="W134" s="5"/>
      <c r="X134" s="5"/>
      <c r="Y134" s="5"/>
      <c r="Z134" s="5"/>
    </row>
    <row r="135" spans="1:26">
      <c r="A135" s="9">
        <v>124</v>
      </c>
      <c r="B135" s="10" t="s">
        <v>338</v>
      </c>
      <c r="C135" s="18" t="s">
        <v>68</v>
      </c>
      <c r="D135" s="10" t="s">
        <v>18</v>
      </c>
      <c r="E135" s="19"/>
      <c r="F135" s="19"/>
      <c r="G135" s="10" t="s">
        <v>339</v>
      </c>
      <c r="H135" s="20"/>
      <c r="I135" s="20"/>
      <c r="J135" s="20"/>
      <c r="K135" s="20"/>
      <c r="L135" s="21"/>
      <c r="M135" s="21"/>
      <c r="N135" s="21"/>
      <c r="O135" s="21"/>
      <c r="P135" s="21"/>
      <c r="Q135" s="21"/>
      <c r="R135" s="21"/>
      <c r="S135" s="22"/>
      <c r="T135" s="5"/>
      <c r="U135" s="5"/>
      <c r="V135" s="5"/>
      <c r="W135" s="5"/>
      <c r="X135" s="5"/>
      <c r="Y135" s="5"/>
      <c r="Z135" s="5"/>
    </row>
    <row r="136" spans="1:26">
      <c r="A136" s="9">
        <v>125</v>
      </c>
      <c r="B136" s="10" t="s">
        <v>340</v>
      </c>
      <c r="C136" s="18" t="s">
        <v>68</v>
      </c>
      <c r="D136" s="10" t="s">
        <v>18</v>
      </c>
      <c r="E136" s="19"/>
      <c r="F136" s="19"/>
      <c r="G136" s="10" t="s">
        <v>341</v>
      </c>
      <c r="H136" s="20"/>
      <c r="I136" s="20"/>
      <c r="J136" s="20"/>
      <c r="K136" s="20"/>
      <c r="L136" s="21"/>
      <c r="M136" s="21"/>
      <c r="N136" s="21"/>
      <c r="O136" s="21"/>
      <c r="P136" s="21"/>
      <c r="Q136" s="21"/>
      <c r="R136" s="21"/>
      <c r="S136" s="22"/>
      <c r="T136" s="5"/>
      <c r="U136" s="5"/>
      <c r="V136" s="5"/>
      <c r="W136" s="5"/>
      <c r="X136" s="5"/>
      <c r="Y136" s="5"/>
      <c r="Z136" s="5"/>
    </row>
    <row r="137" spans="1:26">
      <c r="A137" s="9">
        <v>126</v>
      </c>
      <c r="B137" s="10" t="s">
        <v>342</v>
      </c>
      <c r="C137" s="18" t="s">
        <v>68</v>
      </c>
      <c r="D137" s="10" t="s">
        <v>23</v>
      </c>
      <c r="E137" s="19"/>
      <c r="F137" s="19"/>
      <c r="G137" s="20"/>
      <c r="H137" s="20"/>
      <c r="I137" s="20"/>
      <c r="J137" s="20"/>
      <c r="K137" s="20"/>
      <c r="L137" s="21"/>
      <c r="M137" s="21"/>
      <c r="N137" s="21"/>
      <c r="O137" s="21"/>
      <c r="P137" s="21"/>
      <c r="Q137" s="21"/>
      <c r="R137" s="21"/>
      <c r="S137" s="22"/>
      <c r="T137" s="5"/>
      <c r="U137" s="5"/>
      <c r="V137" s="5"/>
      <c r="W137" s="5"/>
      <c r="X137" s="5"/>
      <c r="Y137" s="5"/>
      <c r="Z137" s="5"/>
    </row>
    <row r="138" spans="1:26">
      <c r="A138" s="9">
        <v>127</v>
      </c>
      <c r="B138" s="10" t="s">
        <v>343</v>
      </c>
      <c r="C138" s="11" t="s">
        <v>49</v>
      </c>
      <c r="D138" s="10" t="s">
        <v>52</v>
      </c>
      <c r="E138" s="12">
        <v>200</v>
      </c>
      <c r="F138" s="12" t="s">
        <v>53</v>
      </c>
      <c r="G138" s="10" t="s">
        <v>344</v>
      </c>
      <c r="H138" s="20"/>
      <c r="I138" s="10" t="s">
        <v>56</v>
      </c>
      <c r="J138" s="10" t="s">
        <v>82</v>
      </c>
      <c r="K138" s="10" t="s">
        <v>345</v>
      </c>
      <c r="L138" s="21"/>
      <c r="M138" s="21"/>
      <c r="N138" s="21"/>
      <c r="O138" s="21"/>
      <c r="P138" s="21"/>
      <c r="Q138" s="21"/>
      <c r="R138" s="21"/>
      <c r="S138" s="22"/>
      <c r="T138" s="5"/>
      <c r="U138" s="5"/>
      <c r="V138" s="5"/>
      <c r="W138" s="5"/>
      <c r="X138" s="5"/>
      <c r="Y138" s="5"/>
      <c r="Z138" s="5"/>
    </row>
    <row r="139" spans="1:26">
      <c r="A139" s="9">
        <v>128</v>
      </c>
      <c r="B139" s="10" t="s">
        <v>295</v>
      </c>
      <c r="C139" s="11" t="s">
        <v>49</v>
      </c>
      <c r="D139" s="10" t="s">
        <v>52</v>
      </c>
      <c r="E139" s="12">
        <v>200</v>
      </c>
      <c r="F139" s="12" t="s">
        <v>53</v>
      </c>
      <c r="G139" s="10" t="s">
        <v>294</v>
      </c>
      <c r="H139" s="20"/>
      <c r="I139" s="10" t="s">
        <v>56</v>
      </c>
      <c r="J139" s="10" t="s">
        <v>346</v>
      </c>
      <c r="K139" s="10" t="s">
        <v>347</v>
      </c>
      <c r="L139" s="21"/>
      <c r="M139" s="21"/>
      <c r="N139" s="21"/>
      <c r="O139" s="21"/>
      <c r="P139" s="21"/>
      <c r="Q139" s="21"/>
      <c r="R139" s="21"/>
      <c r="S139" s="22"/>
      <c r="T139" s="5"/>
      <c r="U139" s="5"/>
      <c r="V139" s="5"/>
      <c r="W139" s="5"/>
      <c r="X139" s="5"/>
      <c r="Y139" s="5"/>
      <c r="Z139" s="5"/>
    </row>
    <row r="140" spans="1:26">
      <c r="A140" s="9">
        <v>129</v>
      </c>
      <c r="B140" s="10" t="s">
        <v>348</v>
      </c>
      <c r="C140" s="18" t="s">
        <v>68</v>
      </c>
      <c r="D140" s="10" t="s">
        <v>18</v>
      </c>
      <c r="E140" s="19"/>
      <c r="F140" s="19"/>
      <c r="G140" s="10" t="s">
        <v>349</v>
      </c>
      <c r="H140" s="20"/>
      <c r="I140" s="20"/>
      <c r="J140" s="20"/>
      <c r="K140" s="20"/>
      <c r="L140" s="21"/>
      <c r="M140" s="21"/>
      <c r="N140" s="21"/>
      <c r="O140" s="21"/>
      <c r="P140" s="21"/>
      <c r="Q140" s="21"/>
      <c r="R140" s="21"/>
      <c r="S140" s="22"/>
      <c r="T140" s="5"/>
      <c r="U140" s="5"/>
      <c r="V140" s="5"/>
      <c r="W140" s="5"/>
      <c r="X140" s="5"/>
      <c r="Y140" s="5"/>
      <c r="Z140" s="5"/>
    </row>
    <row r="141" spans="1:26">
      <c r="A141" s="9">
        <v>130</v>
      </c>
      <c r="B141" s="10" t="s">
        <v>350</v>
      </c>
      <c r="C141" s="11" t="s">
        <v>49</v>
      </c>
      <c r="D141" s="10" t="s">
        <v>52</v>
      </c>
      <c r="E141" s="12">
        <v>200</v>
      </c>
      <c r="F141" s="12" t="s">
        <v>53</v>
      </c>
      <c r="G141" s="10" t="s">
        <v>351</v>
      </c>
      <c r="H141" s="10" t="s">
        <v>350</v>
      </c>
      <c r="I141" s="10" t="s">
        <v>164</v>
      </c>
      <c r="J141" s="10" t="s">
        <v>352</v>
      </c>
      <c r="K141" s="41" t="s">
        <v>353</v>
      </c>
      <c r="L141" s="21"/>
      <c r="M141" s="21"/>
      <c r="N141" s="21"/>
      <c r="O141" s="21"/>
      <c r="P141" s="21"/>
      <c r="Q141" s="21"/>
      <c r="R141" s="21"/>
      <c r="S141" s="22"/>
      <c r="T141" s="5"/>
      <c r="U141" s="5"/>
      <c r="V141" s="5"/>
      <c r="W141" s="5"/>
      <c r="X141" s="5"/>
      <c r="Y141" s="5"/>
      <c r="Z141" s="5"/>
    </row>
    <row r="142" spans="1:26">
      <c r="A142" s="9">
        <v>131</v>
      </c>
      <c r="B142" s="10" t="s">
        <v>354</v>
      </c>
      <c r="C142" s="18" t="s">
        <v>68</v>
      </c>
      <c r="D142" s="10" t="s">
        <v>18</v>
      </c>
      <c r="E142" s="19"/>
      <c r="F142" s="19"/>
      <c r="G142" s="10" t="s">
        <v>355</v>
      </c>
      <c r="H142" s="20"/>
      <c r="I142" s="20"/>
      <c r="J142" s="20"/>
      <c r="K142" s="20"/>
      <c r="L142" s="21"/>
      <c r="M142" s="21"/>
      <c r="N142" s="21"/>
      <c r="O142" s="21"/>
      <c r="P142" s="21"/>
      <c r="Q142" s="21"/>
      <c r="R142" s="21"/>
      <c r="S142" s="22"/>
      <c r="T142" s="5"/>
      <c r="U142" s="5"/>
      <c r="V142" s="5"/>
      <c r="W142" s="5"/>
      <c r="X142" s="5"/>
      <c r="Y142" s="5"/>
      <c r="Z142" s="5"/>
    </row>
    <row r="143" spans="1:26">
      <c r="A143" s="9">
        <v>132</v>
      </c>
      <c r="B143" s="10" t="s">
        <v>356</v>
      </c>
      <c r="C143" s="18" t="s">
        <v>68</v>
      </c>
      <c r="D143" s="10" t="s">
        <v>18</v>
      </c>
      <c r="E143" s="19"/>
      <c r="F143" s="19"/>
      <c r="G143" s="10" t="s">
        <v>357</v>
      </c>
      <c r="H143" s="20"/>
      <c r="I143" s="20"/>
      <c r="J143" s="20"/>
      <c r="K143" s="20"/>
      <c r="L143" s="21"/>
      <c r="M143" s="21"/>
      <c r="N143" s="21"/>
      <c r="O143" s="21"/>
      <c r="P143" s="21"/>
      <c r="Q143" s="21"/>
      <c r="R143" s="21"/>
      <c r="S143" s="22"/>
      <c r="T143" s="5"/>
      <c r="U143" s="5"/>
      <c r="V143" s="5"/>
      <c r="W143" s="5"/>
      <c r="X143" s="5"/>
      <c r="Y143" s="5"/>
      <c r="Z143" s="5"/>
    </row>
    <row r="144" spans="1:26">
      <c r="A144" s="9">
        <v>133</v>
      </c>
      <c r="B144" s="10" t="s">
        <v>358</v>
      </c>
      <c r="C144" s="18" t="s">
        <v>68</v>
      </c>
      <c r="D144" s="10" t="s">
        <v>18</v>
      </c>
      <c r="E144" s="19"/>
      <c r="F144" s="19"/>
      <c r="G144" s="10" t="s">
        <v>359</v>
      </c>
      <c r="H144" s="20"/>
      <c r="I144" s="20"/>
      <c r="J144" s="20"/>
      <c r="K144" s="20"/>
      <c r="L144" s="21"/>
      <c r="M144" s="21"/>
      <c r="N144" s="21"/>
      <c r="O144" s="21"/>
      <c r="P144" s="21"/>
      <c r="Q144" s="21"/>
      <c r="R144" s="21"/>
      <c r="S144" s="22"/>
      <c r="T144" s="5"/>
      <c r="U144" s="5"/>
      <c r="V144" s="5"/>
      <c r="W144" s="5"/>
      <c r="X144" s="5"/>
      <c r="Y144" s="5"/>
      <c r="Z144" s="5"/>
    </row>
    <row r="145" spans="1:26">
      <c r="A145" s="9">
        <v>134</v>
      </c>
      <c r="B145" s="10" t="s">
        <v>360</v>
      </c>
      <c r="C145" s="11" t="s">
        <v>49</v>
      </c>
      <c r="D145" s="10" t="s">
        <v>52</v>
      </c>
      <c r="E145" s="12">
        <v>200</v>
      </c>
      <c r="F145" s="12" t="s">
        <v>53</v>
      </c>
      <c r="G145" s="10" t="s">
        <v>120</v>
      </c>
      <c r="H145" s="10" t="s">
        <v>119</v>
      </c>
      <c r="I145" s="10" t="s">
        <v>56</v>
      </c>
      <c r="J145" s="10" t="s">
        <v>82</v>
      </c>
      <c r="K145" s="10" t="s">
        <v>361</v>
      </c>
      <c r="L145" s="21"/>
      <c r="M145" s="21"/>
      <c r="N145" s="21"/>
      <c r="O145" s="21"/>
      <c r="P145" s="21"/>
      <c r="Q145" s="21"/>
      <c r="R145" s="21"/>
      <c r="S145" s="22"/>
      <c r="T145" s="5"/>
      <c r="U145" s="5"/>
      <c r="V145" s="5"/>
      <c r="W145" s="5"/>
      <c r="X145" s="5"/>
      <c r="Y145" s="5"/>
      <c r="Z145" s="5"/>
    </row>
    <row r="146" spans="1:26">
      <c r="A146" s="9">
        <v>135</v>
      </c>
      <c r="B146" s="10" t="s">
        <v>362</v>
      </c>
      <c r="C146" s="11" t="s">
        <v>49</v>
      </c>
      <c r="D146" s="10" t="s">
        <v>52</v>
      </c>
      <c r="E146" s="12">
        <v>200</v>
      </c>
      <c r="F146" s="12" t="s">
        <v>53</v>
      </c>
      <c r="G146" s="10" t="s">
        <v>163</v>
      </c>
      <c r="H146" s="10" t="s">
        <v>162</v>
      </c>
      <c r="I146" s="10" t="s">
        <v>164</v>
      </c>
      <c r="J146" s="10" t="s">
        <v>82</v>
      </c>
      <c r="K146" s="10" t="s">
        <v>363</v>
      </c>
      <c r="L146" s="21"/>
      <c r="M146" s="21"/>
      <c r="N146" s="21"/>
      <c r="O146" s="21"/>
      <c r="P146" s="21"/>
      <c r="Q146" s="21"/>
      <c r="R146" s="21"/>
      <c r="S146" s="22"/>
      <c r="T146" s="5"/>
      <c r="U146" s="5"/>
      <c r="V146" s="5"/>
      <c r="W146" s="5"/>
      <c r="X146" s="5"/>
      <c r="Y146" s="5"/>
      <c r="Z146" s="5"/>
    </row>
    <row r="147" spans="1:26">
      <c r="A147" s="9">
        <v>136</v>
      </c>
      <c r="B147" s="10" t="s">
        <v>364</v>
      </c>
      <c r="C147" s="11" t="s">
        <v>49</v>
      </c>
      <c r="D147" s="10" t="s">
        <v>52</v>
      </c>
      <c r="E147" s="12">
        <v>200</v>
      </c>
      <c r="F147" s="12" t="s">
        <v>53</v>
      </c>
      <c r="G147" s="10" t="s">
        <v>344</v>
      </c>
      <c r="H147" s="10" t="s">
        <v>343</v>
      </c>
      <c r="I147" s="10" t="s">
        <v>56</v>
      </c>
      <c r="J147" s="10" t="s">
        <v>82</v>
      </c>
      <c r="K147" s="10" t="s">
        <v>365</v>
      </c>
      <c r="L147" s="21"/>
      <c r="M147" s="21"/>
      <c r="N147" s="21"/>
      <c r="O147" s="21"/>
      <c r="P147" s="21"/>
      <c r="Q147" s="21"/>
      <c r="R147" s="21"/>
      <c r="S147" s="22"/>
      <c r="T147" s="5"/>
      <c r="U147" s="5"/>
      <c r="V147" s="5"/>
      <c r="W147" s="5"/>
      <c r="X147" s="5"/>
      <c r="Y147" s="5"/>
      <c r="Z147" s="5"/>
    </row>
    <row r="148" spans="1:26">
      <c r="A148" s="9">
        <v>137</v>
      </c>
      <c r="B148" s="10" t="s">
        <v>366</v>
      </c>
      <c r="C148" s="11" t="s">
        <v>49</v>
      </c>
      <c r="D148" s="10" t="s">
        <v>52</v>
      </c>
      <c r="E148" s="12">
        <v>200</v>
      </c>
      <c r="F148" s="12" t="s">
        <v>53</v>
      </c>
      <c r="G148" s="10" t="s">
        <v>54</v>
      </c>
      <c r="H148" s="20"/>
      <c r="I148" s="10" t="s">
        <v>56</v>
      </c>
      <c r="J148" s="10" t="s">
        <v>82</v>
      </c>
      <c r="K148" s="10" t="s">
        <v>367</v>
      </c>
      <c r="L148" s="21"/>
      <c r="M148" s="21"/>
      <c r="N148" s="21"/>
      <c r="O148" s="21"/>
      <c r="P148" s="21"/>
      <c r="Q148" s="21"/>
      <c r="R148" s="21"/>
      <c r="S148" s="22"/>
      <c r="T148" s="5"/>
      <c r="U148" s="5"/>
      <c r="V148" s="5"/>
      <c r="W148" s="5"/>
      <c r="X148" s="5"/>
      <c r="Y148" s="5"/>
      <c r="Z148" s="5"/>
    </row>
    <row r="149" spans="1:26">
      <c r="A149" s="9">
        <v>138</v>
      </c>
      <c r="B149" s="10" t="s">
        <v>368</v>
      </c>
      <c r="C149" s="18" t="s">
        <v>68</v>
      </c>
      <c r="D149" s="10" t="s">
        <v>23</v>
      </c>
      <c r="E149" s="19"/>
      <c r="F149" s="19"/>
      <c r="G149" s="20"/>
      <c r="H149" s="20"/>
      <c r="I149" s="20"/>
      <c r="J149" s="20"/>
      <c r="K149" s="20"/>
      <c r="L149" s="21"/>
      <c r="M149" s="21"/>
      <c r="N149" s="21"/>
      <c r="O149" s="21"/>
      <c r="P149" s="21"/>
      <c r="Q149" s="21"/>
      <c r="R149" s="21"/>
      <c r="S149" s="22"/>
      <c r="T149" s="5"/>
      <c r="U149" s="5"/>
      <c r="V149" s="5"/>
      <c r="W149" s="5"/>
      <c r="X149" s="5"/>
      <c r="Y149" s="5"/>
      <c r="Z149" s="5"/>
    </row>
    <row r="150" spans="1:26">
      <c r="A150" s="9">
        <v>139</v>
      </c>
      <c r="B150" s="10" t="s">
        <v>369</v>
      </c>
      <c r="C150" s="11" t="s">
        <v>49</v>
      </c>
      <c r="D150" s="10" t="s">
        <v>52</v>
      </c>
      <c r="E150" s="12">
        <v>200</v>
      </c>
      <c r="F150" s="12" t="s">
        <v>53</v>
      </c>
      <c r="G150" s="10" t="s">
        <v>294</v>
      </c>
      <c r="H150" s="10" t="s">
        <v>295</v>
      </c>
      <c r="I150" s="10" t="s">
        <v>56</v>
      </c>
      <c r="J150" s="10" t="s">
        <v>82</v>
      </c>
      <c r="K150" s="10" t="s">
        <v>370</v>
      </c>
      <c r="L150" s="21"/>
      <c r="M150" s="21"/>
      <c r="N150" s="21"/>
      <c r="O150" s="21"/>
      <c r="P150" s="21"/>
      <c r="Q150" s="21"/>
      <c r="R150" s="21"/>
      <c r="S150" s="22"/>
      <c r="T150" s="5"/>
      <c r="U150" s="5"/>
      <c r="V150" s="5"/>
      <c r="W150" s="5"/>
      <c r="X150" s="5"/>
      <c r="Y150" s="5"/>
      <c r="Z150" s="5"/>
    </row>
    <row r="151" spans="1:26">
      <c r="A151" s="9">
        <v>140</v>
      </c>
      <c r="B151" s="10" t="s">
        <v>371</v>
      </c>
      <c r="C151" s="18" t="s">
        <v>68</v>
      </c>
      <c r="D151" s="10" t="s">
        <v>23</v>
      </c>
      <c r="E151" s="19"/>
      <c r="F151" s="19"/>
      <c r="G151" s="20"/>
      <c r="H151" s="20"/>
      <c r="I151" s="20"/>
      <c r="J151" s="20"/>
      <c r="K151" s="20"/>
      <c r="L151" s="21"/>
      <c r="M151" s="21"/>
      <c r="N151" s="21"/>
      <c r="O151" s="21"/>
      <c r="P151" s="21"/>
      <c r="Q151" s="21"/>
      <c r="R151" s="21"/>
      <c r="S151" s="22"/>
      <c r="T151" s="5"/>
      <c r="U151" s="5"/>
      <c r="V151" s="5"/>
      <c r="W151" s="5"/>
      <c r="X151" s="5"/>
      <c r="Y151" s="5"/>
      <c r="Z151" s="5"/>
    </row>
    <row r="153" spans="1:26" ht="15" customHeight="1">
      <c r="L153" s="39"/>
      <c r="M153" s="39"/>
      <c r="N153" s="39"/>
      <c r="O153" s="39"/>
      <c r="P153" s="39"/>
      <c r="Q153" s="39"/>
      <c r="R153" s="39"/>
      <c r="S153" s="40"/>
    </row>
    <row r="156" spans="1:26" s="23" customFormat="1" ht="14.25">
      <c r="L156" s="21"/>
      <c r="M156" s="21"/>
      <c r="N156" s="21"/>
      <c r="O156" s="21"/>
      <c r="P156" s="21"/>
      <c r="Q156" s="21"/>
      <c r="R156" s="21"/>
      <c r="S156" s="22"/>
      <c r="T156" s="5"/>
      <c r="U156" s="5"/>
      <c r="V156" s="5"/>
      <c r="W156" s="5"/>
      <c r="X156" s="5"/>
      <c r="Y156" s="5"/>
      <c r="Z156" s="5"/>
    </row>
  </sheetData>
  <customSheetViews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1380696953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1508321736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1539300502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1966016221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51040148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574839805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610554632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686316935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71826417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733520807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819000803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909176780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935364060"/>
        </ext>
      </extLst>
    </customSheetView>
    <customSheetView guid="{E4D7076B-7CD4-4A8A-8356-85B86FEB38E0}" filter="1" showAutoFilter="1">
      <pageMargins left="0.7" right="0.7" top="0.75" bottom="0.75" header="0.3" footer="0.3"/>
      <autoFilter ref="A5:S145" xr:uid="{00000000-0000-0000-0000-000000000000}"/>
      <extLst>
        <ext uri="GoogleSheetsCustomDataVersion1">
          <go:sheetsCustomData xmlns:go="http://customooxmlschemas.google.com/" filterViewId="971227635"/>
        </ext>
      </extLst>
    </customSheetView>
  </customSheetViews>
  <mergeCells count="4">
    <mergeCell ref="A1:S1"/>
    <mergeCell ref="A2:S2"/>
    <mergeCell ref="A3:K3"/>
    <mergeCell ref="L3:S3"/>
  </mergeCells>
  <conditionalFormatting sqref="L6:L151">
    <cfRule type="expression" dxfId="8" priority="7">
      <formula>L6="Vigente"</formula>
    </cfRule>
  </conditionalFormatting>
  <conditionalFormatting sqref="O6:O151">
    <cfRule type="expression" dxfId="7" priority="8">
      <formula>O6="Concluido"</formula>
    </cfRule>
  </conditionalFormatting>
  <conditionalFormatting sqref="P6:P151">
    <cfRule type="expression" dxfId="6" priority="9">
      <formula>P6="Remediado"</formula>
    </cfRule>
  </conditionalFormatting>
  <conditionalFormatting sqref="L153">
    <cfRule type="expression" dxfId="5" priority="4">
      <formula>L153="Vigente"</formula>
    </cfRule>
  </conditionalFormatting>
  <conditionalFormatting sqref="O153">
    <cfRule type="expression" dxfId="4" priority="5">
      <formula>O153="Concluido"</formula>
    </cfRule>
  </conditionalFormatting>
  <conditionalFormatting sqref="P153">
    <cfRule type="expression" dxfId="3" priority="6">
      <formula>P153="Remediado"</formula>
    </cfRule>
  </conditionalFormatting>
  <conditionalFormatting sqref="L156">
    <cfRule type="expression" dxfId="2" priority="1">
      <formula>L156="Vigente"</formula>
    </cfRule>
  </conditionalFormatting>
  <conditionalFormatting sqref="O156">
    <cfRule type="expression" dxfId="1" priority="2">
      <formula>O156="Concluido"</formula>
    </cfRule>
  </conditionalFormatting>
  <conditionalFormatting sqref="P156">
    <cfRule type="expression" dxfId="0" priority="3">
      <formula>P156="Remediado"</formula>
    </cfRule>
  </conditionalFormatting>
  <dataValidations count="3">
    <dataValidation type="list" allowBlank="1" sqref="P6:P151 P153 P156" xr:uid="{00000000-0002-0000-0100-000000000000}">
      <formula1>"No aplica,Pendiente,Sin hallazgos,Con hallazgos,Remediado"</formula1>
    </dataValidation>
    <dataValidation type="list" allowBlank="1" sqref="O6:O151 O153 O156" xr:uid="{00000000-0002-0000-0100-000001000000}">
      <formula1>"Concluido,En proceso,Por iniciar"</formula1>
    </dataValidation>
    <dataValidation type="list" allowBlank="1" sqref="L156 L153 L6:L151" xr:uid="{00000000-0002-0000-0100-000002000000}">
      <formula1>"Vigente,No vigente - retirar,Retirado previamente,Servicio no web vigente,Corregir / eliminar DNS-CNAME,No reconocido / por confirmar"</formula1>
    </dataValidation>
  </dataValidations>
  <hyperlinks>
    <hyperlink ref="K141" r:id="rId1" xr:uid="{A6993343-A7F6-4B9D-94CC-97467E6F4103}"/>
    <hyperlink ref="K6" r:id="rId2" xr:uid="{DB3A8FB7-C44C-47E9-8C0F-407E7A4B416A}"/>
    <hyperlink ref="K7" r:id="rId3" xr:uid="{C0ECC670-9E89-4BD3-9597-28DDFBC0A574}"/>
  </hyperlinks>
  <pageMargins left="0.7" right="0.7" top="0.75" bottom="0.75" header="0" footer="0"/>
  <pageSetup orientation="landscape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01_Instrucciones</vt:lpstr>
      <vt:lpstr>02_Subdominios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mmtz</dc:creator>
  <cp:lastModifiedBy>inaoe</cp:lastModifiedBy>
  <dcterms:created xsi:type="dcterms:W3CDTF">2026-08-17T18:30:56Z</dcterms:created>
  <dcterms:modified xsi:type="dcterms:W3CDTF">2026-08-25T02:40:38Z</dcterms:modified>
</cp:coreProperties>
</file>